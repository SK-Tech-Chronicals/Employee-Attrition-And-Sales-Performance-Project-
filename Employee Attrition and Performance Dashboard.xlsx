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onam\OneDrive\Desktop\dashboards\"/>
    </mc:Choice>
  </mc:AlternateContent>
  <xr:revisionPtr revIDLastSave="0" documentId="13_ncr:1_{02972FEA-F6A4-49F0-835D-7D2EC2B80C98}" xr6:coauthVersionLast="47" xr6:coauthVersionMax="47" xr10:uidLastSave="{00000000-0000-0000-0000-000000000000}"/>
  <bookViews>
    <workbookView xWindow="-108" yWindow="-108" windowWidth="23256" windowHeight="12456" activeTab="2" xr2:uid="{3C203F91-6453-4A8B-8402-A8BA07D5F4F3}"/>
  </bookViews>
  <sheets>
    <sheet name="Raw Data" sheetId="1" r:id="rId1"/>
    <sheet name="Sheet8" sheetId="8" r:id="rId2"/>
    <sheet name="Sheet12" sheetId="12" r:id="rId3"/>
    <sheet name="Sheet3" sheetId="3" r:id="rId4"/>
    <sheet name="Formatted Data " sheetId="2" r:id="rId5"/>
    <sheet name="Sheet13" sheetId="15" r:id="rId6"/>
    <sheet name="Sheet14" sheetId="16" r:id="rId7"/>
  </sheets>
  <definedNames>
    <definedName name="Slicer_Department">#N/A</definedName>
    <definedName name="Slicer_Performan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2" l="1"/>
  <c r="L5" i="12" s="1"/>
  <c r="J5" i="12"/>
  <c r="M5" i="12" s="1"/>
  <c r="M51" i="15"/>
  <c r="H18" i="16"/>
  <c r="K51" i="15"/>
  <c r="J51" i="15"/>
  <c r="I51" i="15"/>
  <c r="K50" i="15"/>
  <c r="J50" i="15"/>
  <c r="I50" i="15"/>
  <c r="K49" i="15"/>
  <c r="J49" i="15"/>
  <c r="I49" i="15"/>
  <c r="K48" i="15"/>
  <c r="J48" i="15"/>
  <c r="I48" i="15"/>
  <c r="K47" i="15"/>
  <c r="J47" i="15"/>
  <c r="I47" i="15"/>
  <c r="K46" i="15"/>
  <c r="J46" i="15"/>
  <c r="I46" i="15"/>
  <c r="K45" i="15"/>
  <c r="J45" i="15"/>
  <c r="I45" i="15"/>
  <c r="K44" i="15"/>
  <c r="J44" i="15"/>
  <c r="I44" i="15"/>
  <c r="K43" i="15"/>
  <c r="J43" i="15"/>
  <c r="I43" i="15"/>
  <c r="K42" i="15"/>
  <c r="J42" i="15"/>
  <c r="I42" i="15"/>
  <c r="K41" i="15"/>
  <c r="J41" i="15"/>
  <c r="I41" i="15"/>
  <c r="K40" i="15"/>
  <c r="J40" i="15"/>
  <c r="I40" i="15"/>
  <c r="K39" i="15"/>
  <c r="J39" i="15"/>
  <c r="I39" i="15"/>
  <c r="K38" i="15"/>
  <c r="J38" i="15"/>
  <c r="I38" i="15"/>
  <c r="K37" i="15"/>
  <c r="J37" i="15"/>
  <c r="I37" i="15"/>
  <c r="K36" i="15"/>
  <c r="J36" i="15"/>
  <c r="I36" i="15"/>
  <c r="K35" i="15"/>
  <c r="J35" i="15"/>
  <c r="I35" i="15"/>
  <c r="K34" i="15"/>
  <c r="J34" i="15"/>
  <c r="I34" i="15"/>
  <c r="K33" i="15"/>
  <c r="J33" i="15"/>
  <c r="I33" i="15"/>
  <c r="K32" i="15"/>
  <c r="J32" i="15"/>
  <c r="I32" i="15"/>
  <c r="K31" i="15"/>
  <c r="J31" i="15"/>
  <c r="I31" i="15"/>
  <c r="K30" i="15"/>
  <c r="J30" i="15"/>
  <c r="I30" i="15"/>
  <c r="K29" i="15"/>
  <c r="J29" i="15"/>
  <c r="I29" i="15"/>
  <c r="K28" i="15"/>
  <c r="J28" i="15"/>
  <c r="I28" i="15"/>
  <c r="K27" i="15"/>
  <c r="J27" i="15"/>
  <c r="I27" i="15"/>
  <c r="K26" i="15"/>
  <c r="J26" i="15"/>
  <c r="I26" i="15"/>
  <c r="K25" i="15"/>
  <c r="J25" i="15"/>
  <c r="I25" i="15"/>
  <c r="K24" i="15"/>
  <c r="J24" i="15"/>
  <c r="I24" i="15"/>
  <c r="K23" i="15"/>
  <c r="J23" i="15"/>
  <c r="I23" i="15"/>
  <c r="K22" i="15"/>
  <c r="J22" i="15"/>
  <c r="I22" i="15"/>
  <c r="K21" i="15"/>
  <c r="J21" i="15"/>
  <c r="I21" i="15"/>
  <c r="K20" i="15"/>
  <c r="J20" i="15"/>
  <c r="I20" i="15"/>
  <c r="K19" i="15"/>
  <c r="J19" i="15"/>
  <c r="I19" i="15"/>
  <c r="K18" i="15"/>
  <c r="J18" i="15"/>
  <c r="I18" i="15"/>
  <c r="K17" i="15"/>
  <c r="J17" i="15"/>
  <c r="I17" i="15"/>
  <c r="K16" i="15"/>
  <c r="J16" i="15"/>
  <c r="I16" i="15"/>
  <c r="K15" i="15"/>
  <c r="J15" i="15"/>
  <c r="I15" i="15"/>
  <c r="K14" i="15"/>
  <c r="J14" i="15"/>
  <c r="I14" i="15"/>
  <c r="K13" i="15"/>
  <c r="J13" i="15"/>
  <c r="I13" i="15"/>
  <c r="K12" i="15"/>
  <c r="J12" i="15"/>
  <c r="I12" i="15"/>
  <c r="K11" i="15"/>
  <c r="J11" i="15"/>
  <c r="I11" i="15"/>
  <c r="K10" i="15"/>
  <c r="J10" i="15"/>
  <c r="I10" i="15"/>
  <c r="K9" i="15"/>
  <c r="J9" i="15"/>
  <c r="I9" i="15"/>
  <c r="K8" i="15"/>
  <c r="J8" i="15"/>
  <c r="I8" i="15"/>
  <c r="K7" i="15"/>
  <c r="J7" i="15"/>
  <c r="I7" i="15"/>
  <c r="K6" i="15"/>
  <c r="J6" i="15"/>
  <c r="I6" i="15"/>
  <c r="K5" i="15"/>
  <c r="J5" i="15"/>
  <c r="I5" i="15"/>
  <c r="K4" i="15"/>
  <c r="J4" i="15"/>
  <c r="I4" i="15"/>
  <c r="K3" i="15"/>
  <c r="J3" i="15"/>
  <c r="I3" i="15"/>
  <c r="K2" i="15"/>
  <c r="J2" i="15"/>
  <c r="I2" i="15"/>
  <c r="I9" i="3"/>
  <c r="I15" i="3"/>
  <c r="I21" i="3" a="1"/>
  <c r="I21" i="3" s="1"/>
  <c r="K5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<sst xmlns="http://schemas.openxmlformats.org/spreadsheetml/2006/main" count="639" uniqueCount="207">
  <si>
    <t>EmpID,Name,Department,Region,Salary,Performance,Experience,Attrition</t>
  </si>
  <si>
    <t>E101,Amit,Sales,North,30000,3,2,Yes</t>
  </si>
  <si>
    <t>E102,Riya,HR,South,35000,4,3,No</t>
  </si>
  <si>
    <t>E103,Neha,IT,East,50000,5,5,No</t>
  </si>
  <si>
    <t>E104,Rahul,Sales,West,28000,2,1,Yes</t>
  </si>
  <si>
    <t>E105,Ankit,IT,North,52000,4,6,No</t>
  </si>
  <si>
    <t>E106,Pooja,HR,South,34000,3,2,Yes</t>
  </si>
  <si>
    <t>E107,Karan,Sales,East,31000,2,2,Yes</t>
  </si>
  <si>
    <t>E108,Simran,IT,West,60000,5,7,No</t>
  </si>
  <si>
    <t>E109,Rohit,HR,North,33000,3,3,No</t>
  </si>
  <si>
    <t>E110,Meena,Sales,South,29000,2,1,Yes</t>
  </si>
  <si>
    <t>E111,Arjun,IT,East,55000,4,5,No</t>
  </si>
  <si>
    <t>E112,Kavya,HR,West,36000,4,4,No</t>
  </si>
  <si>
    <t>E113,Vikas,Sales,North,27000,1,1,Yes</t>
  </si>
  <si>
    <t>E114,Sneha,IT,South,58000,5,6,No</t>
  </si>
  <si>
    <t>E115,Deepak,HR,East,32000,3,2,Yes</t>
  </si>
  <si>
    <t>E116,Anjali,Sales,West,30000,2,2,Yes</t>
  </si>
  <si>
    <t>E117,Rakesh,IT,North,51000,4,5,No</t>
  </si>
  <si>
    <t>E118,Payal,HR,South,37000,4,3,No</t>
  </si>
  <si>
    <t>E119,Sachin,Sales,East,26000,1,1,Yes</t>
  </si>
  <si>
    <t>E120,Nikita,IT,West,62000,5,8,No</t>
  </si>
  <si>
    <t>E121,Manish,HR,North,34000,3,2,Yes</t>
  </si>
  <si>
    <t>E122,Divya,Sales,South,31000,2,2,Yes</t>
  </si>
  <si>
    <t>E123,Varun,IT,East,54000,4,6,No</t>
  </si>
  <si>
    <t>E124,Tina,HR,West,36000,3,3,No</t>
  </si>
  <si>
    <t>E125,Ashish,Sales,North,28000,2,1,Yes</t>
  </si>
  <si>
    <t>E126,Kriti,IT,South,57000,5,7,No</t>
  </si>
  <si>
    <t>E127,Sandeep,HR,East,33000,3,2,Yes</t>
  </si>
  <si>
    <t>E128,Monika,Sales,West,29500,2,1,Yes</t>
  </si>
  <si>
    <t>E129,Harsh,IT,North,53000,4,5,No</t>
  </si>
  <si>
    <t>E130,Priya,HR,South,35000,4,3,No</t>
  </si>
  <si>
    <t>E131,Raj,Sales,East,27000,1,1,Yes</t>
  </si>
  <si>
    <t>E132,Komal,IT,West,61000,5,8,No</t>
  </si>
  <si>
    <t>E133,Sunil,HR,North,32000,3,2,Yes</t>
  </si>
  <si>
    <t>E134,Aarti,Sales,South,30000,2,2,Yes</t>
  </si>
  <si>
    <t>E135,Vinay,IT,East,56000,4,6,No</t>
  </si>
  <si>
    <t>E136,Shreya,HR,West,37000,4,3,No</t>
  </si>
  <si>
    <t>E137,Ravi,Sales,North,26000,1,1,Yes</t>
  </si>
  <si>
    <t>E138,Neelam,IT,South,59000,5,7,No</t>
  </si>
  <si>
    <t>E139,Alok,HR,East,34000,3,2,Yes</t>
  </si>
  <si>
    <t>E140,Poonam,Sales,West,31000,2,2,Yes</t>
  </si>
  <si>
    <t>E141,Deep,IT,North,52000,4,5,No</t>
  </si>
  <si>
    <t>E142,Kajal,HR,South,36000,4,3,No</t>
  </si>
  <si>
    <t>E143,Aman,Sales,East,28000,2,1,Yes</t>
  </si>
  <si>
    <t>E144,Rekha,IT,West,60000,5,8,No</t>
  </si>
  <si>
    <t>E145,Anu,HR,North,33000,3,2,Yes</t>
  </si>
  <si>
    <t>E146,Gaurav,Sales,South,29500,2,1,Yes</t>
  </si>
  <si>
    <t>E147,Sonia,IT,East,55000,4,6,No</t>
  </si>
  <si>
    <t>E148,Ritu,HR,West,37000,4,3,No</t>
  </si>
  <si>
    <t>E149,Ajay,Sales,North,27000,1,1,Yes</t>
  </si>
  <si>
    <t>E150,Megha,IT,South,58000,5,7,No</t>
  </si>
  <si>
    <t>EmpID</t>
  </si>
  <si>
    <t>Name</t>
  </si>
  <si>
    <t>Department</t>
  </si>
  <si>
    <t>Region</t>
  </si>
  <si>
    <t>Salary</t>
  </si>
  <si>
    <t>Performance</t>
  </si>
  <si>
    <t>Experience</t>
  </si>
  <si>
    <t>Attrition</t>
  </si>
  <si>
    <t>E101</t>
  </si>
  <si>
    <t>Amit</t>
  </si>
  <si>
    <t>Sales</t>
  </si>
  <si>
    <t>North</t>
  </si>
  <si>
    <t>Yes</t>
  </si>
  <si>
    <t>E102</t>
  </si>
  <si>
    <t>Riya</t>
  </si>
  <si>
    <t>HR</t>
  </si>
  <si>
    <t>South</t>
  </si>
  <si>
    <t>No</t>
  </si>
  <si>
    <t>E103</t>
  </si>
  <si>
    <t>Neha</t>
  </si>
  <si>
    <t>IT</t>
  </si>
  <si>
    <t>East</t>
  </si>
  <si>
    <t>E104</t>
  </si>
  <si>
    <t>Rahul</t>
  </si>
  <si>
    <t>West</t>
  </si>
  <si>
    <t>E105</t>
  </si>
  <si>
    <t>Ankit</t>
  </si>
  <si>
    <t>E106</t>
  </si>
  <si>
    <t>Pooja</t>
  </si>
  <si>
    <t>E107</t>
  </si>
  <si>
    <t>Karan</t>
  </si>
  <si>
    <t>E108</t>
  </si>
  <si>
    <t>Simran</t>
  </si>
  <si>
    <t>E109</t>
  </si>
  <si>
    <t>Rohit</t>
  </si>
  <si>
    <t>E110</t>
  </si>
  <si>
    <t>Meena</t>
  </si>
  <si>
    <t>E111</t>
  </si>
  <si>
    <t>Arjun</t>
  </si>
  <si>
    <t>E112</t>
  </si>
  <si>
    <t>Kavya</t>
  </si>
  <si>
    <t>E113</t>
  </si>
  <si>
    <t>Vikas</t>
  </si>
  <si>
    <t>E114</t>
  </si>
  <si>
    <t>Sneha</t>
  </si>
  <si>
    <t>E115</t>
  </si>
  <si>
    <t>Deepak</t>
  </si>
  <si>
    <t>E116</t>
  </si>
  <si>
    <t>Anjali</t>
  </si>
  <si>
    <t>E117</t>
  </si>
  <si>
    <t>Rakesh</t>
  </si>
  <si>
    <t>E118</t>
  </si>
  <si>
    <t>Payal</t>
  </si>
  <si>
    <t>E119</t>
  </si>
  <si>
    <t>Sachin</t>
  </si>
  <si>
    <t>E120</t>
  </si>
  <si>
    <t>Nikita</t>
  </si>
  <si>
    <t>E121</t>
  </si>
  <si>
    <t>Manish</t>
  </si>
  <si>
    <t>E122</t>
  </si>
  <si>
    <t>Divya</t>
  </si>
  <si>
    <t>E123</t>
  </si>
  <si>
    <t>Varun</t>
  </si>
  <si>
    <t>E124</t>
  </si>
  <si>
    <t>Tina</t>
  </si>
  <si>
    <t>E125</t>
  </si>
  <si>
    <t>Ashish</t>
  </si>
  <si>
    <t>E126</t>
  </si>
  <si>
    <t>Kriti</t>
  </si>
  <si>
    <t>E127</t>
  </si>
  <si>
    <t>Sandeep</t>
  </si>
  <si>
    <t>E128</t>
  </si>
  <si>
    <t>Monika</t>
  </si>
  <si>
    <t>E129</t>
  </si>
  <si>
    <t>Harsh</t>
  </si>
  <si>
    <t>E130</t>
  </si>
  <si>
    <t>Priya</t>
  </si>
  <si>
    <t>E131</t>
  </si>
  <si>
    <t>Raj</t>
  </si>
  <si>
    <t>E132</t>
  </si>
  <si>
    <t>Komal</t>
  </si>
  <si>
    <t>E133</t>
  </si>
  <si>
    <t>Sunil</t>
  </si>
  <si>
    <t>E134</t>
  </si>
  <si>
    <t>Aarti</t>
  </si>
  <si>
    <t>E135</t>
  </si>
  <si>
    <t>Vinay</t>
  </si>
  <si>
    <t>E136</t>
  </si>
  <si>
    <t>Shreya</t>
  </si>
  <si>
    <t>E137</t>
  </si>
  <si>
    <t>Ravi</t>
  </si>
  <si>
    <t>E138</t>
  </si>
  <si>
    <t>Neelam</t>
  </si>
  <si>
    <t>E139</t>
  </si>
  <si>
    <t>Alok</t>
  </si>
  <si>
    <t>E140</t>
  </si>
  <si>
    <t>Poonam</t>
  </si>
  <si>
    <t>E141</t>
  </si>
  <si>
    <t>Deep</t>
  </si>
  <si>
    <t>E142</t>
  </si>
  <si>
    <t>Kajal</t>
  </si>
  <si>
    <t>E143</t>
  </si>
  <si>
    <t>Aman</t>
  </si>
  <si>
    <t>E144</t>
  </si>
  <si>
    <t>Rekha</t>
  </si>
  <si>
    <t>E145</t>
  </si>
  <si>
    <t>Anu</t>
  </si>
  <si>
    <t>E146</t>
  </si>
  <si>
    <t>Gaurav</t>
  </si>
  <si>
    <t>E147</t>
  </si>
  <si>
    <t>Sonia</t>
  </si>
  <si>
    <t>E148</t>
  </si>
  <si>
    <t>Ritu</t>
  </si>
  <si>
    <t>E149</t>
  </si>
  <si>
    <t>Ajay</t>
  </si>
  <si>
    <t>E150</t>
  </si>
  <si>
    <t>Megha</t>
  </si>
  <si>
    <t>Salary Band</t>
  </si>
  <si>
    <t>Low</t>
  </si>
  <si>
    <t>Medium</t>
  </si>
  <si>
    <t>Experience Level</t>
  </si>
  <si>
    <t>Attrition Flag</t>
  </si>
  <si>
    <t>🔹 Pivot 1: Attrition Summary</t>
  </si>
  <si>
    <t>Attrition → Rows</t>
  </si>
  <si>
    <t>EmpID → Values (Count)</t>
  </si>
  <si>
    <t>👉 Rename:</t>
  </si>
  <si>
    <t>Count of EmpID → Total Employees</t>
  </si>
  <si>
    <t>🔹 Pivot 2: Department-wise Attrition</t>
  </si>
  <si>
    <t>Department → Rows</t>
  </si>
  <si>
    <t>EmpID → Values</t>
  </si>
  <si>
    <t>Attrition → Columns</t>
  </si>
  <si>
    <t>👉 (Yes vs No split)</t>
  </si>
  <si>
    <t>🔹 Pivot 3: Salary Band Analysis</t>
  </si>
  <si>
    <t>Salary Band → Rows</t>
  </si>
  <si>
    <t>🔹 Pivot 4: Performance Impact</t>
  </si>
  <si>
    <t>Performance → Rows</t>
  </si>
  <si>
    <t>🎯 STEP 6: KPI (VERY IMPORTANT 🔥)</t>
  </si>
  <si>
    <t>👉 Dashboard sheet pe:</t>
  </si>
  <si>
    <t>🔹 Total Employees</t>
  </si>
  <si>
    <t>🔹 Attrition Count</t>
  </si>
  <si>
    <t>🔹 Attrition Rate</t>
  </si>
  <si>
    <t>👉 Format → Percentage</t>
  </si>
  <si>
    <t>Row Labels</t>
  </si>
  <si>
    <t>Grand Total</t>
  </si>
  <si>
    <t>Count of EmpID</t>
  </si>
  <si>
    <t>Column Labels</t>
  </si>
  <si>
    <t>High</t>
  </si>
  <si>
    <t>ATTRITION SUMMARY</t>
  </si>
  <si>
    <t>DEPARTMENT WISE ATTRITION</t>
  </si>
  <si>
    <t>PERFORMANCE IMPACT</t>
  </si>
  <si>
    <t>EMPLOYEE ATTRITION AND PERFORMANCE DASHBOARD</t>
  </si>
  <si>
    <t>SALARY BAND ANALYSIS</t>
  </si>
  <si>
    <t>TOTAL EMPLOYEE</t>
  </si>
  <si>
    <t>EMPLOYEES LEFT</t>
  </si>
  <si>
    <t>ATTRITION RATE</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</si>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</sst>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
      <b/>
      <sz val="24"/>
      <color theme="1"/>
      <name val="Calibri"/>
      <family val="2"/>
      <scheme val="minor"/>
    </font>
    <font>
      <sz val="10"/>
      <color theme="1"/>
      <name val="Arial Unicode MS"/>
    </font>
    <font>
      <b/>
      <sz val="20"/>
      <color theme="1"/>
      <name val="Calibri"/>
      <family val="2"/>
      <scheme val="minor"/>
    </font>
    <font>
      <sz val="18"/>
      <color theme="1"/>
      <name val="Calibri"/>
      <family val="2"/>
      <scheme val="minor"/>
    </font>
    <font>
      <sz val="20"/>
      <color theme="1"/>
      <name val="Calibri"/>
      <family val="2"/>
      <scheme val="minor"/>
    </font>
    <font>
      <b/>
      <sz val="4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xf numFmtId="0" fontId="4" fillId="0" borderId="0" xfId="0" applyFont="1" applyAlignment="1">
      <alignment vertical="center"/>
    </xf>
    <xf numFmtId="0" fontId="5" fillId="0" borderId="0" xfId="0" applyFont="1" applyAlignment="1">
      <alignment vertical="center"/>
    </xf>
    <xf numFmtId="0" fontId="0" fillId="0" borderId="0" xfId="0" pivotButton="1"/>
    <xf numFmtId="0" fontId="0" fillId="0" borderId="0" xfId="0" applyAlignment="1">
      <alignment horizontal="left"/>
    </xf>
    <xf numFmtId="10" fontId="0" fillId="0" borderId="0" xfId="0" applyNumberFormat="1" applyAlignment="1">
      <alignment horizontal="center"/>
    </xf>
    <xf numFmtId="0" fontId="7" fillId="0" borderId="0" xfId="0" applyFont="1"/>
    <xf numFmtId="0" fontId="3" fillId="0" borderId="1" xfId="0" applyFont="1" applyBorder="1" applyAlignment="1">
      <alignment horizontal="center"/>
    </xf>
    <xf numFmtId="10" fontId="3" fillId="0" borderId="1" xfId="0" applyNumberFormat="1" applyFont="1" applyBorder="1" applyAlignment="1">
      <alignment horizontal="center"/>
    </xf>
    <xf numFmtId="0" fontId="3"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xf>
  </cellXfs>
  <cellStyles count="1">
    <cellStyle name="Normal" xfId="0" builtinId="0"/>
  </cellStyles>
  <dxfs count="2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and Performance Dashboard.xlsx]Sheet8!PivotTable5</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27759994392393E-2"/>
          <c:y val="0.28796470479956809"/>
          <c:w val="0.73841929133858264"/>
          <c:h val="0.46625666936612187"/>
        </c:manualLayout>
      </c:layout>
      <c:lineChart>
        <c:grouping val="standard"/>
        <c:varyColors val="0"/>
        <c:ser>
          <c:idx val="0"/>
          <c:order val="0"/>
          <c:tx>
            <c:strRef>
              <c:f>Sheet8!$B$3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Sheet8!$A$4:$A$6</c:f>
              <c:strCache>
                <c:ptCount val="2"/>
                <c:pt idx="0">
                  <c:v>No</c:v>
                </c:pt>
                <c:pt idx="1">
                  <c:v>Yes</c:v>
                </c:pt>
              </c:strCache>
            </c:strRef>
          </c:cat>
          <c:val>
            <c:numRef>
              <c:f>Sheet8!$B$4:$B$6</c:f>
              <c:numCache>
                <c:formatCode>General</c:formatCode>
                <c:ptCount val="2"/>
                <c:pt idx="0">
                  <c:v>26</c:v>
                </c:pt>
                <c:pt idx="1">
                  <c:v>24</c:v>
                </c:pt>
              </c:numCache>
            </c:numRef>
          </c:val>
          <c:smooth val="0"/>
          <c:extLst>
            <c:ext xmlns:c16="http://schemas.microsoft.com/office/drawing/2014/chart" uri="{C3380CC4-5D6E-409C-BE32-E72D297353CC}">
              <c16:uniqueId val="{00000000-DDB5-4C09-9DB8-8902A0ACE7C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07894495"/>
        <c:axId val="507893055"/>
      </c:lineChart>
      <c:catAx>
        <c:axId val="5078944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07893055"/>
        <c:crosses val="autoZero"/>
        <c:auto val="1"/>
        <c:lblAlgn val="ctr"/>
        <c:lblOffset val="100"/>
        <c:noMultiLvlLbl val="0"/>
      </c:catAx>
      <c:valAx>
        <c:axId val="50789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789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and Performance Dashboard.xlsx]Sheet8!PivotTable6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050495338495613"/>
          <c:y val="1.9983833242262598E-2"/>
          <c:w val="0.67999682012465956"/>
          <c:h val="0.78714767263214036"/>
        </c:manualLayout>
      </c:layout>
      <c:doughnutChart>
        <c:varyColors val="1"/>
        <c:ser>
          <c:idx val="0"/>
          <c:order val="0"/>
          <c:tx>
            <c:strRef>
              <c:f>Sheet8!$B$8:$B$9</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1E-415A-8B25-266DBA52D2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1E-415A-8B25-266DBA52D2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E1E-415A-8B25-266DBA52D2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Sheet8!$A$10:$A$13</c:f>
              <c:strCache>
                <c:ptCount val="3"/>
                <c:pt idx="0">
                  <c:v>HR</c:v>
                </c:pt>
                <c:pt idx="1">
                  <c:v>IT</c:v>
                </c:pt>
                <c:pt idx="2">
                  <c:v>Sales</c:v>
                </c:pt>
              </c:strCache>
            </c:strRef>
          </c:cat>
          <c:val>
            <c:numRef>
              <c:f>Sheet8!$B$10:$B$13</c:f>
              <c:numCache>
                <c:formatCode>General</c:formatCode>
                <c:ptCount val="3"/>
                <c:pt idx="0">
                  <c:v>9</c:v>
                </c:pt>
                <c:pt idx="1">
                  <c:v>17</c:v>
                </c:pt>
              </c:numCache>
            </c:numRef>
          </c:val>
          <c:extLst>
            <c:ext xmlns:c16="http://schemas.microsoft.com/office/drawing/2014/chart" uri="{C3380CC4-5D6E-409C-BE32-E72D297353CC}">
              <c16:uniqueId val="{00000000-5CE4-4C12-AB6B-98853087642C}"/>
            </c:ext>
          </c:extLst>
        </c:ser>
        <c:ser>
          <c:idx val="1"/>
          <c:order val="1"/>
          <c:tx>
            <c:strRef>
              <c:f>Sheet8!$C$8:$C$9</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E1E-415A-8B25-266DBA52D2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E1E-415A-8B25-266DBA52D2A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E1E-415A-8B25-266DBA52D2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Sheet8!$A$10:$A$13</c:f>
              <c:strCache>
                <c:ptCount val="3"/>
                <c:pt idx="0">
                  <c:v>HR</c:v>
                </c:pt>
                <c:pt idx="1">
                  <c:v>IT</c:v>
                </c:pt>
                <c:pt idx="2">
                  <c:v>Sales</c:v>
                </c:pt>
              </c:strCache>
            </c:strRef>
          </c:cat>
          <c:val>
            <c:numRef>
              <c:f>Sheet8!$C$10:$C$13</c:f>
              <c:numCache>
                <c:formatCode>General</c:formatCode>
                <c:ptCount val="3"/>
                <c:pt idx="0">
                  <c:v>7</c:v>
                </c:pt>
                <c:pt idx="2">
                  <c:v>17</c:v>
                </c:pt>
              </c:numCache>
            </c:numRef>
          </c:val>
          <c:extLst>
            <c:ext xmlns:c16="http://schemas.microsoft.com/office/drawing/2014/chart" uri="{C3380CC4-5D6E-409C-BE32-E72D297353CC}">
              <c16:uniqueId val="{00000001-5CE4-4C12-AB6B-9885308764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and Performance Dashboard.xlsx]Sheet8!PivotTable7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7125024851864"/>
          <c:y val="0.16186726177635058"/>
          <c:w val="0.75703018372703412"/>
          <c:h val="0.65853091280256637"/>
        </c:manualLayout>
      </c:layout>
      <c:lineChart>
        <c:grouping val="percentStacked"/>
        <c:varyColors val="0"/>
        <c:ser>
          <c:idx val="0"/>
          <c:order val="0"/>
          <c:tx>
            <c:strRef>
              <c:f>Sheet8!$B$15:$B$16</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Sheet8!$A$17:$A$20</c:f>
              <c:strCache>
                <c:ptCount val="3"/>
                <c:pt idx="0">
                  <c:v>High</c:v>
                </c:pt>
                <c:pt idx="1">
                  <c:v>Low</c:v>
                </c:pt>
                <c:pt idx="2">
                  <c:v>Medium</c:v>
                </c:pt>
              </c:strCache>
            </c:strRef>
          </c:cat>
          <c:val>
            <c:numRef>
              <c:f>Sheet8!$B$17:$B$20</c:f>
              <c:numCache>
                <c:formatCode>General</c:formatCode>
                <c:ptCount val="3"/>
                <c:pt idx="0">
                  <c:v>17</c:v>
                </c:pt>
                <c:pt idx="2">
                  <c:v>9</c:v>
                </c:pt>
              </c:numCache>
            </c:numRef>
          </c:val>
          <c:smooth val="0"/>
          <c:extLst>
            <c:ext xmlns:c16="http://schemas.microsoft.com/office/drawing/2014/chart" uri="{C3380CC4-5D6E-409C-BE32-E72D297353CC}">
              <c16:uniqueId val="{00000000-05EA-4A5F-9193-486D86615A15}"/>
            </c:ext>
          </c:extLst>
        </c:ser>
        <c:ser>
          <c:idx val="1"/>
          <c:order val="1"/>
          <c:tx>
            <c:strRef>
              <c:f>Sheet8!$C$15:$C$16</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Sheet8!$A$17:$A$20</c:f>
              <c:strCache>
                <c:ptCount val="3"/>
                <c:pt idx="0">
                  <c:v>High</c:v>
                </c:pt>
                <c:pt idx="1">
                  <c:v>Low</c:v>
                </c:pt>
                <c:pt idx="2">
                  <c:v>Medium</c:v>
                </c:pt>
              </c:strCache>
            </c:strRef>
          </c:cat>
          <c:val>
            <c:numRef>
              <c:f>Sheet8!$C$17:$C$20</c:f>
              <c:numCache>
                <c:formatCode>General</c:formatCode>
                <c:ptCount val="3"/>
                <c:pt idx="1">
                  <c:v>11</c:v>
                </c:pt>
                <c:pt idx="2">
                  <c:v>13</c:v>
                </c:pt>
              </c:numCache>
            </c:numRef>
          </c:val>
          <c:smooth val="0"/>
          <c:extLst>
            <c:ext xmlns:c16="http://schemas.microsoft.com/office/drawing/2014/chart" uri="{C3380CC4-5D6E-409C-BE32-E72D297353CC}">
              <c16:uniqueId val="{00000001-05EA-4A5F-9193-486D86615A15}"/>
            </c:ext>
          </c:extLst>
        </c:ser>
        <c:dLbls>
          <c:dLblPos val="ctr"/>
          <c:showLegendKey val="0"/>
          <c:showVal val="1"/>
          <c:showCatName val="0"/>
          <c:showSerName val="0"/>
          <c:showPercent val="0"/>
          <c:showBubbleSize val="0"/>
        </c:dLbls>
        <c:marker val="1"/>
        <c:smooth val="0"/>
        <c:axId val="602681023"/>
        <c:axId val="602681503"/>
      </c:lineChart>
      <c:catAx>
        <c:axId val="602681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2681503"/>
        <c:crosses val="autoZero"/>
        <c:auto val="1"/>
        <c:lblAlgn val="ctr"/>
        <c:lblOffset val="100"/>
        <c:noMultiLvlLbl val="0"/>
      </c:catAx>
      <c:valAx>
        <c:axId val="6026815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026810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and Performance Dashboard.xlsx]Sheet8!PivotTable8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59921029201668"/>
          <c:y val="9.4486498872760838E-2"/>
          <c:w val="0.71950794797702899"/>
          <c:h val="0.77358095612408595"/>
        </c:manualLayout>
      </c:layout>
      <c:bar3DChart>
        <c:barDir val="col"/>
        <c:grouping val="standard"/>
        <c:varyColors val="0"/>
        <c:ser>
          <c:idx val="0"/>
          <c:order val="0"/>
          <c:tx>
            <c:strRef>
              <c:f>Sheet8!$G$2:$G$3</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Sheet8!$F$4:$F$9</c:f>
              <c:strCache>
                <c:ptCount val="5"/>
                <c:pt idx="0">
                  <c:v>1</c:v>
                </c:pt>
                <c:pt idx="1">
                  <c:v>2</c:v>
                </c:pt>
                <c:pt idx="2">
                  <c:v>3</c:v>
                </c:pt>
                <c:pt idx="3">
                  <c:v>4</c:v>
                </c:pt>
                <c:pt idx="4">
                  <c:v>5</c:v>
                </c:pt>
              </c:strCache>
            </c:strRef>
          </c:cat>
          <c:val>
            <c:numRef>
              <c:f>Sheet8!$G$4:$G$9</c:f>
              <c:numCache>
                <c:formatCode>General</c:formatCode>
                <c:ptCount val="5"/>
                <c:pt idx="2">
                  <c:v>2</c:v>
                </c:pt>
                <c:pt idx="3">
                  <c:v>15</c:v>
                </c:pt>
                <c:pt idx="4">
                  <c:v>9</c:v>
                </c:pt>
              </c:numCache>
            </c:numRef>
          </c:val>
          <c:extLst>
            <c:ext xmlns:c16="http://schemas.microsoft.com/office/drawing/2014/chart" uri="{C3380CC4-5D6E-409C-BE32-E72D297353CC}">
              <c16:uniqueId val="{00000000-09AA-4C3D-8B73-EB6A932C4275}"/>
            </c:ext>
          </c:extLst>
        </c:ser>
        <c:ser>
          <c:idx val="1"/>
          <c:order val="1"/>
          <c:tx>
            <c:strRef>
              <c:f>Sheet8!$H$2:$H$3</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Sheet8!$F$4:$F$9</c:f>
              <c:strCache>
                <c:ptCount val="5"/>
                <c:pt idx="0">
                  <c:v>1</c:v>
                </c:pt>
                <c:pt idx="1">
                  <c:v>2</c:v>
                </c:pt>
                <c:pt idx="2">
                  <c:v>3</c:v>
                </c:pt>
                <c:pt idx="3">
                  <c:v>4</c:v>
                </c:pt>
                <c:pt idx="4">
                  <c:v>5</c:v>
                </c:pt>
              </c:strCache>
            </c:strRef>
          </c:cat>
          <c:val>
            <c:numRef>
              <c:f>Sheet8!$H$4:$H$9</c:f>
              <c:numCache>
                <c:formatCode>General</c:formatCode>
                <c:ptCount val="5"/>
                <c:pt idx="0">
                  <c:v>5</c:v>
                </c:pt>
                <c:pt idx="1">
                  <c:v>11</c:v>
                </c:pt>
                <c:pt idx="2">
                  <c:v>8</c:v>
                </c:pt>
              </c:numCache>
            </c:numRef>
          </c:val>
          <c:extLst>
            <c:ext xmlns:c16="http://schemas.microsoft.com/office/drawing/2014/chart" uri="{C3380CC4-5D6E-409C-BE32-E72D297353CC}">
              <c16:uniqueId val="{00000001-09AA-4C3D-8B73-EB6A932C4275}"/>
            </c:ext>
          </c:extLst>
        </c:ser>
        <c:dLbls>
          <c:showLegendKey val="0"/>
          <c:showVal val="0"/>
          <c:showCatName val="0"/>
          <c:showSerName val="0"/>
          <c:showPercent val="0"/>
          <c:showBubbleSize val="0"/>
        </c:dLbls>
        <c:gapWidth val="150"/>
        <c:shape val="box"/>
        <c:axId val="718017647"/>
        <c:axId val="718019087"/>
        <c:axId val="439875135"/>
      </c:bar3DChart>
      <c:catAx>
        <c:axId val="718017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8019087"/>
        <c:crosses val="autoZero"/>
        <c:auto val="1"/>
        <c:lblAlgn val="ctr"/>
        <c:lblOffset val="100"/>
        <c:noMultiLvlLbl val="0"/>
      </c:catAx>
      <c:valAx>
        <c:axId val="71801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8017647"/>
        <c:crosses val="autoZero"/>
        <c:crossBetween val="between"/>
      </c:valAx>
      <c:serAx>
        <c:axId val="4398751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8019087"/>
        <c:crosses val="autoZero"/>
      </c:serAx>
      <c:spPr>
        <a:noFill/>
        <a:ln>
          <a:noFill/>
        </a:ln>
        <a:effectLst/>
      </c:spPr>
    </c:plotArea>
    <c:legend>
      <c:legendPos val="r"/>
      <c:layout>
        <c:manualLayout>
          <c:xMode val="edge"/>
          <c:yMode val="edge"/>
          <c:x val="0.85505072028231421"/>
          <c:y val="0.44221714166385112"/>
          <c:w val="0.13092193006758715"/>
          <c:h val="0.15081831246878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27710</xdr:colOff>
      <xdr:row>5</xdr:row>
      <xdr:rowOff>25399</xdr:rowOff>
    </xdr:from>
    <xdr:to>
      <xdr:col>7</xdr:col>
      <xdr:colOff>581892</xdr:colOff>
      <xdr:row>24</xdr:row>
      <xdr:rowOff>1153</xdr:rowOff>
    </xdr:to>
    <xdr:graphicFrame macro="">
      <xdr:nvGraphicFramePr>
        <xdr:cNvPr id="2" name="Chart 1">
          <a:extLst>
            <a:ext uri="{FF2B5EF4-FFF2-40B4-BE49-F238E27FC236}">
              <a16:creationId xmlns:a16="http://schemas.microsoft.com/office/drawing/2014/main" id="{229BF950-1CD7-4AD3-827D-3C9D7C83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27709</xdr:rowOff>
    </xdr:from>
    <xdr:to>
      <xdr:col>9</xdr:col>
      <xdr:colOff>387927</xdr:colOff>
      <xdr:row>46</xdr:row>
      <xdr:rowOff>155222</xdr:rowOff>
    </xdr:to>
    <xdr:graphicFrame macro="">
      <xdr:nvGraphicFramePr>
        <xdr:cNvPr id="3" name="Chart 2">
          <a:extLst>
            <a:ext uri="{FF2B5EF4-FFF2-40B4-BE49-F238E27FC236}">
              <a16:creationId xmlns:a16="http://schemas.microsoft.com/office/drawing/2014/main" id="{F712571F-CDC4-401C-BE5D-BA97F9A04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273170</xdr:colOff>
      <xdr:row>20</xdr:row>
      <xdr:rowOff>24896</xdr:rowOff>
    </xdr:from>
    <xdr:to>
      <xdr:col>25</xdr:col>
      <xdr:colOff>11043</xdr:colOff>
      <xdr:row>46</xdr:row>
      <xdr:rowOff>115018</xdr:rowOff>
    </xdr:to>
    <xdr:graphicFrame macro="">
      <xdr:nvGraphicFramePr>
        <xdr:cNvPr id="4" name="Chart 3">
          <a:extLst>
            <a:ext uri="{FF2B5EF4-FFF2-40B4-BE49-F238E27FC236}">
              <a16:creationId xmlns:a16="http://schemas.microsoft.com/office/drawing/2014/main" id="{252EB154-3739-46AE-AD3E-DA5378560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330679</xdr:colOff>
      <xdr:row>5</xdr:row>
      <xdr:rowOff>33293</xdr:rowOff>
    </xdr:from>
    <xdr:to>
      <xdr:col>34</xdr:col>
      <xdr:colOff>301924</xdr:colOff>
      <xdr:row>31</xdr:row>
      <xdr:rowOff>57510</xdr:rowOff>
    </xdr:to>
    <xdr:graphicFrame macro="">
      <xdr:nvGraphicFramePr>
        <xdr:cNvPr id="5" name="Chart 4">
          <a:extLst>
            <a:ext uri="{FF2B5EF4-FFF2-40B4-BE49-F238E27FC236}">
              <a16:creationId xmlns:a16="http://schemas.microsoft.com/office/drawing/2014/main" id="{1F3C729F-8819-4A91-9259-96D85BF58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777240</xdr:colOff>
      <xdr:row>8</xdr:row>
      <xdr:rowOff>88670</xdr:rowOff>
    </xdr:from>
    <xdr:to>
      <xdr:col>11</xdr:col>
      <xdr:colOff>457201</xdr:colOff>
      <xdr:row>25</xdr:row>
      <xdr:rowOff>127000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32BB977-AD89-14D4-371C-164C21E0D5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238240" y="2092448"/>
              <a:ext cx="3362961" cy="3073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1114778</xdr:colOff>
      <xdr:row>8</xdr:row>
      <xdr:rowOff>115018</xdr:rowOff>
    </xdr:from>
    <xdr:to>
      <xdr:col>14</xdr:col>
      <xdr:colOff>125229</xdr:colOff>
      <xdr:row>29</xdr:row>
      <xdr:rowOff>141111</xdr:rowOff>
    </xdr:to>
    <mc:AlternateContent xmlns:mc="http://schemas.openxmlformats.org/markup-compatibility/2006" xmlns:a14="http://schemas.microsoft.com/office/drawing/2010/main">
      <mc:Choice Requires="a14">
        <xdr:graphicFrame macro="">
          <xdr:nvGraphicFramePr>
            <xdr:cNvPr id="7" name="Performance">
              <a:extLst>
                <a:ext uri="{FF2B5EF4-FFF2-40B4-BE49-F238E27FC236}">
                  <a16:creationId xmlns:a16="http://schemas.microsoft.com/office/drawing/2014/main" id="{9300ED57-67A4-7C81-9F19-BF1FB9C79B78}"/>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10639247" y="2118796"/>
              <a:ext cx="2891538" cy="3525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m Kothiyal" refreshedDate="46120.497902430558" createdVersion="8" refreshedVersion="8" minRefreshableVersion="3" recordCount="50" xr:uid="{4A46DB5F-7BB7-408A-8360-81DBC9F2244B}">
  <cacheSource type="worksheet">
    <worksheetSource name="Table2"/>
  </cacheSource>
  <cacheFields count="11">
    <cacheField name="EmpID" numFmtId="0">
      <sharedItems/>
    </cacheField>
    <cacheField name="Name" numFmtId="0">
      <sharedItems/>
    </cacheField>
    <cacheField name="Department" numFmtId="0">
      <sharedItems count="3">
        <s v="Sales"/>
        <s v="HR"/>
        <s v="IT"/>
      </sharedItems>
    </cacheField>
    <cacheField name="Region" numFmtId="0">
      <sharedItems/>
    </cacheField>
    <cacheField name="Salary" numFmtId="0">
      <sharedItems containsSemiMixedTypes="0" containsString="0" containsNumber="1" containsInteger="1" minValue="26000" maxValue="62000"/>
    </cacheField>
    <cacheField name="Performance" numFmtId="0">
      <sharedItems containsSemiMixedTypes="0" containsString="0" containsNumber="1" containsInteger="1" minValue="1" maxValue="5" count="5">
        <n v="3"/>
        <n v="4"/>
        <n v="5"/>
        <n v="2"/>
        <n v="1"/>
      </sharedItems>
    </cacheField>
    <cacheField name="Experience" numFmtId="0">
      <sharedItems containsSemiMixedTypes="0" containsString="0" containsNumber="1" containsInteger="1" minValue="1" maxValue="8"/>
    </cacheField>
    <cacheField name="Attrition" numFmtId="0">
      <sharedItems count="2">
        <s v="Yes"/>
        <s v="No"/>
      </sharedItems>
    </cacheField>
    <cacheField name="Salary Band" numFmtId="0">
      <sharedItems count="3">
        <s v="Medium"/>
        <s v="High"/>
        <s v="Low"/>
      </sharedItems>
    </cacheField>
    <cacheField name="Experience Level" numFmtId="0">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10723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101"/>
    <s v="Amit"/>
    <x v="0"/>
    <s v="North"/>
    <n v="30000"/>
    <x v="0"/>
    <n v="2"/>
    <x v="0"/>
    <x v="0"/>
    <s v="Fresher"/>
    <n v="1"/>
  </r>
  <r>
    <s v="E102"/>
    <s v="Riya"/>
    <x v="1"/>
    <s v="South"/>
    <n v="35000"/>
    <x v="1"/>
    <n v="3"/>
    <x v="1"/>
    <x v="0"/>
    <s v="Experienced"/>
    <n v="0"/>
  </r>
  <r>
    <s v="E103"/>
    <s v="Neha"/>
    <x v="2"/>
    <s v="East"/>
    <n v="50000"/>
    <x v="2"/>
    <n v="5"/>
    <x v="1"/>
    <x v="1"/>
    <s v="Experienced"/>
    <n v="0"/>
  </r>
  <r>
    <s v="E104"/>
    <s v="Rahul"/>
    <x v="0"/>
    <s v="West"/>
    <n v="28000"/>
    <x v="3"/>
    <n v="1"/>
    <x v="0"/>
    <x v="2"/>
    <s v="Fresher"/>
    <n v="1"/>
  </r>
  <r>
    <s v="E105"/>
    <s v="Ankit"/>
    <x v="2"/>
    <s v="North"/>
    <n v="52000"/>
    <x v="1"/>
    <n v="6"/>
    <x v="1"/>
    <x v="1"/>
    <s v="Experienced"/>
    <n v="0"/>
  </r>
  <r>
    <s v="E106"/>
    <s v="Pooja"/>
    <x v="1"/>
    <s v="South"/>
    <n v="34000"/>
    <x v="0"/>
    <n v="2"/>
    <x v="0"/>
    <x v="0"/>
    <s v="Fresher"/>
    <n v="1"/>
  </r>
  <r>
    <s v="E107"/>
    <s v="Karan"/>
    <x v="0"/>
    <s v="East"/>
    <n v="31000"/>
    <x v="3"/>
    <n v="2"/>
    <x v="0"/>
    <x v="0"/>
    <s v="Fresher"/>
    <n v="1"/>
  </r>
  <r>
    <s v="E108"/>
    <s v="Simran"/>
    <x v="2"/>
    <s v="West"/>
    <n v="60000"/>
    <x v="2"/>
    <n v="7"/>
    <x v="1"/>
    <x v="1"/>
    <s v="Experienced"/>
    <n v="0"/>
  </r>
  <r>
    <s v="E109"/>
    <s v="Rohit"/>
    <x v="1"/>
    <s v="North"/>
    <n v="33000"/>
    <x v="0"/>
    <n v="3"/>
    <x v="1"/>
    <x v="0"/>
    <s v="Experienced"/>
    <n v="0"/>
  </r>
  <r>
    <s v="E110"/>
    <s v="Meena"/>
    <x v="0"/>
    <s v="South"/>
    <n v="29000"/>
    <x v="3"/>
    <n v="1"/>
    <x v="0"/>
    <x v="2"/>
    <s v="Fresher"/>
    <n v="1"/>
  </r>
  <r>
    <s v="E111"/>
    <s v="Arjun"/>
    <x v="2"/>
    <s v="East"/>
    <n v="55000"/>
    <x v="1"/>
    <n v="5"/>
    <x v="1"/>
    <x v="1"/>
    <s v="Experienced"/>
    <n v="0"/>
  </r>
  <r>
    <s v="E112"/>
    <s v="Kavya"/>
    <x v="1"/>
    <s v="West"/>
    <n v="36000"/>
    <x v="1"/>
    <n v="4"/>
    <x v="1"/>
    <x v="0"/>
    <s v="Experienced"/>
    <n v="0"/>
  </r>
  <r>
    <s v="E113"/>
    <s v="Vikas"/>
    <x v="0"/>
    <s v="North"/>
    <n v="27000"/>
    <x v="4"/>
    <n v="1"/>
    <x v="0"/>
    <x v="2"/>
    <s v="Fresher"/>
    <n v="1"/>
  </r>
  <r>
    <s v="E114"/>
    <s v="Sneha"/>
    <x v="2"/>
    <s v="South"/>
    <n v="58000"/>
    <x v="2"/>
    <n v="6"/>
    <x v="1"/>
    <x v="1"/>
    <s v="Experienced"/>
    <n v="0"/>
  </r>
  <r>
    <s v="E115"/>
    <s v="Deepak"/>
    <x v="1"/>
    <s v="East"/>
    <n v="32000"/>
    <x v="0"/>
    <n v="2"/>
    <x v="0"/>
    <x v="0"/>
    <s v="Fresher"/>
    <n v="1"/>
  </r>
  <r>
    <s v="E116"/>
    <s v="Anjali"/>
    <x v="0"/>
    <s v="West"/>
    <n v="30000"/>
    <x v="3"/>
    <n v="2"/>
    <x v="0"/>
    <x v="0"/>
    <s v="Fresher"/>
    <n v="1"/>
  </r>
  <r>
    <s v="E117"/>
    <s v="Rakesh"/>
    <x v="2"/>
    <s v="North"/>
    <n v="51000"/>
    <x v="1"/>
    <n v="5"/>
    <x v="1"/>
    <x v="1"/>
    <s v="Experienced"/>
    <n v="0"/>
  </r>
  <r>
    <s v="E118"/>
    <s v="Payal"/>
    <x v="1"/>
    <s v="South"/>
    <n v="37000"/>
    <x v="1"/>
    <n v="3"/>
    <x v="1"/>
    <x v="0"/>
    <s v="Experienced"/>
    <n v="0"/>
  </r>
  <r>
    <s v="E119"/>
    <s v="Sachin"/>
    <x v="0"/>
    <s v="East"/>
    <n v="26000"/>
    <x v="4"/>
    <n v="1"/>
    <x v="0"/>
    <x v="2"/>
    <s v="Fresher"/>
    <n v="1"/>
  </r>
  <r>
    <s v="E120"/>
    <s v="Nikita"/>
    <x v="2"/>
    <s v="West"/>
    <n v="62000"/>
    <x v="2"/>
    <n v="8"/>
    <x v="1"/>
    <x v="1"/>
    <s v="Experienced"/>
    <n v="0"/>
  </r>
  <r>
    <s v="E121"/>
    <s v="Manish"/>
    <x v="1"/>
    <s v="North"/>
    <n v="34000"/>
    <x v="0"/>
    <n v="2"/>
    <x v="0"/>
    <x v="0"/>
    <s v="Fresher"/>
    <n v="1"/>
  </r>
  <r>
    <s v="E122"/>
    <s v="Divya"/>
    <x v="0"/>
    <s v="South"/>
    <n v="31000"/>
    <x v="3"/>
    <n v="2"/>
    <x v="0"/>
    <x v="0"/>
    <s v="Fresher"/>
    <n v="1"/>
  </r>
  <r>
    <s v="E123"/>
    <s v="Varun"/>
    <x v="2"/>
    <s v="East"/>
    <n v="54000"/>
    <x v="1"/>
    <n v="6"/>
    <x v="1"/>
    <x v="1"/>
    <s v="Experienced"/>
    <n v="0"/>
  </r>
  <r>
    <s v="E124"/>
    <s v="Tina"/>
    <x v="1"/>
    <s v="West"/>
    <n v="36000"/>
    <x v="0"/>
    <n v="3"/>
    <x v="1"/>
    <x v="0"/>
    <s v="Experienced"/>
    <n v="0"/>
  </r>
  <r>
    <s v="E125"/>
    <s v="Ashish"/>
    <x v="0"/>
    <s v="North"/>
    <n v="28000"/>
    <x v="3"/>
    <n v="1"/>
    <x v="0"/>
    <x v="2"/>
    <s v="Fresher"/>
    <n v="1"/>
  </r>
  <r>
    <s v="E126"/>
    <s v="Kriti"/>
    <x v="2"/>
    <s v="South"/>
    <n v="57000"/>
    <x v="2"/>
    <n v="7"/>
    <x v="1"/>
    <x v="1"/>
    <s v="Experienced"/>
    <n v="0"/>
  </r>
  <r>
    <s v="E127"/>
    <s v="Sandeep"/>
    <x v="1"/>
    <s v="East"/>
    <n v="33000"/>
    <x v="0"/>
    <n v="2"/>
    <x v="0"/>
    <x v="0"/>
    <s v="Fresher"/>
    <n v="1"/>
  </r>
  <r>
    <s v="E128"/>
    <s v="Monika"/>
    <x v="0"/>
    <s v="West"/>
    <n v="29500"/>
    <x v="3"/>
    <n v="1"/>
    <x v="0"/>
    <x v="2"/>
    <s v="Fresher"/>
    <n v="1"/>
  </r>
  <r>
    <s v="E129"/>
    <s v="Harsh"/>
    <x v="2"/>
    <s v="North"/>
    <n v="53000"/>
    <x v="1"/>
    <n v="5"/>
    <x v="1"/>
    <x v="1"/>
    <s v="Experienced"/>
    <n v="0"/>
  </r>
  <r>
    <s v="E130"/>
    <s v="Priya"/>
    <x v="1"/>
    <s v="South"/>
    <n v="35000"/>
    <x v="1"/>
    <n v="3"/>
    <x v="1"/>
    <x v="0"/>
    <s v="Experienced"/>
    <n v="0"/>
  </r>
  <r>
    <s v="E131"/>
    <s v="Raj"/>
    <x v="0"/>
    <s v="East"/>
    <n v="27000"/>
    <x v="4"/>
    <n v="1"/>
    <x v="0"/>
    <x v="2"/>
    <s v="Fresher"/>
    <n v="1"/>
  </r>
  <r>
    <s v="E132"/>
    <s v="Komal"/>
    <x v="2"/>
    <s v="West"/>
    <n v="61000"/>
    <x v="2"/>
    <n v="8"/>
    <x v="1"/>
    <x v="1"/>
    <s v="Experienced"/>
    <n v="0"/>
  </r>
  <r>
    <s v="E133"/>
    <s v="Sunil"/>
    <x v="1"/>
    <s v="North"/>
    <n v="32000"/>
    <x v="0"/>
    <n v="2"/>
    <x v="0"/>
    <x v="0"/>
    <s v="Fresher"/>
    <n v="1"/>
  </r>
  <r>
    <s v="E134"/>
    <s v="Aarti"/>
    <x v="0"/>
    <s v="South"/>
    <n v="30000"/>
    <x v="3"/>
    <n v="2"/>
    <x v="0"/>
    <x v="0"/>
    <s v="Fresher"/>
    <n v="1"/>
  </r>
  <r>
    <s v="E135"/>
    <s v="Vinay"/>
    <x v="2"/>
    <s v="East"/>
    <n v="56000"/>
    <x v="1"/>
    <n v="6"/>
    <x v="1"/>
    <x v="1"/>
    <s v="Experienced"/>
    <n v="0"/>
  </r>
  <r>
    <s v="E136"/>
    <s v="Shreya"/>
    <x v="1"/>
    <s v="West"/>
    <n v="37000"/>
    <x v="1"/>
    <n v="3"/>
    <x v="1"/>
    <x v="0"/>
    <s v="Experienced"/>
    <n v="0"/>
  </r>
  <r>
    <s v="E137"/>
    <s v="Ravi"/>
    <x v="0"/>
    <s v="North"/>
    <n v="26000"/>
    <x v="4"/>
    <n v="1"/>
    <x v="0"/>
    <x v="2"/>
    <s v="Fresher"/>
    <n v="1"/>
  </r>
  <r>
    <s v="E138"/>
    <s v="Neelam"/>
    <x v="2"/>
    <s v="South"/>
    <n v="59000"/>
    <x v="2"/>
    <n v="7"/>
    <x v="1"/>
    <x v="1"/>
    <s v="Experienced"/>
    <n v="0"/>
  </r>
  <r>
    <s v="E139"/>
    <s v="Alok"/>
    <x v="1"/>
    <s v="East"/>
    <n v="34000"/>
    <x v="0"/>
    <n v="2"/>
    <x v="0"/>
    <x v="0"/>
    <s v="Fresher"/>
    <n v="1"/>
  </r>
  <r>
    <s v="E140"/>
    <s v="Poonam"/>
    <x v="0"/>
    <s v="West"/>
    <n v="31000"/>
    <x v="3"/>
    <n v="2"/>
    <x v="0"/>
    <x v="0"/>
    <s v="Fresher"/>
    <n v="1"/>
  </r>
  <r>
    <s v="E141"/>
    <s v="Deep"/>
    <x v="2"/>
    <s v="North"/>
    <n v="52000"/>
    <x v="1"/>
    <n v="5"/>
    <x v="1"/>
    <x v="1"/>
    <s v="Experienced"/>
    <n v="0"/>
  </r>
  <r>
    <s v="E142"/>
    <s v="Kajal"/>
    <x v="1"/>
    <s v="South"/>
    <n v="36000"/>
    <x v="1"/>
    <n v="3"/>
    <x v="1"/>
    <x v="0"/>
    <s v="Experienced"/>
    <n v="0"/>
  </r>
  <r>
    <s v="E143"/>
    <s v="Aman"/>
    <x v="0"/>
    <s v="East"/>
    <n v="28000"/>
    <x v="3"/>
    <n v="1"/>
    <x v="0"/>
    <x v="2"/>
    <s v="Fresher"/>
    <n v="1"/>
  </r>
  <r>
    <s v="E144"/>
    <s v="Rekha"/>
    <x v="2"/>
    <s v="West"/>
    <n v="60000"/>
    <x v="2"/>
    <n v="8"/>
    <x v="1"/>
    <x v="1"/>
    <s v="Experienced"/>
    <n v="0"/>
  </r>
  <r>
    <s v="E145"/>
    <s v="Anu"/>
    <x v="1"/>
    <s v="North"/>
    <n v="33000"/>
    <x v="0"/>
    <n v="2"/>
    <x v="0"/>
    <x v="0"/>
    <s v="Fresher"/>
    <n v="1"/>
  </r>
  <r>
    <s v="E146"/>
    <s v="Gaurav"/>
    <x v="0"/>
    <s v="South"/>
    <n v="29500"/>
    <x v="3"/>
    <n v="1"/>
    <x v="0"/>
    <x v="2"/>
    <s v="Fresher"/>
    <n v="1"/>
  </r>
  <r>
    <s v="E147"/>
    <s v="Sonia"/>
    <x v="2"/>
    <s v="East"/>
    <n v="55000"/>
    <x v="1"/>
    <n v="6"/>
    <x v="1"/>
    <x v="1"/>
    <s v="Experienced"/>
    <n v="0"/>
  </r>
  <r>
    <s v="E148"/>
    <s v="Ritu"/>
    <x v="1"/>
    <s v="West"/>
    <n v="37000"/>
    <x v="1"/>
    <n v="3"/>
    <x v="1"/>
    <x v="0"/>
    <s v="Experienced"/>
    <n v="0"/>
  </r>
  <r>
    <s v="E149"/>
    <s v="Ajay"/>
    <x v="0"/>
    <s v="North"/>
    <n v="27000"/>
    <x v="4"/>
    <n v="1"/>
    <x v="0"/>
    <x v="2"/>
    <s v="Fresher"/>
    <n v="1"/>
  </r>
  <r>
    <s v="E150"/>
    <s v="Megha"/>
    <x v="2"/>
    <s v="South"/>
    <n v="58000"/>
    <x v="2"/>
    <n v="7"/>
    <x v="1"/>
    <x v="1"/>
    <s v="Experienc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F068B-4226-437D-9492-44A12C2DDA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I9" firstHeaderRow="1" firstDataRow="2" firstDataCol="1"/>
  <pivotFields count="11">
    <pivotField dataField="1" showAll="0"/>
    <pivotField showAll="0"/>
    <pivotField showAll="0"/>
    <pivotField showAll="0"/>
    <pivotField showAll="0"/>
    <pivotField axis="axisRow" showAll="0">
      <items count="6">
        <item x="4"/>
        <item x="3"/>
        <item x="0"/>
        <item x="1"/>
        <item x="2"/>
        <item t="default"/>
      </items>
    </pivotField>
    <pivotField showAll="0"/>
    <pivotField axis="axisCol" showAll="0">
      <items count="3">
        <item x="1"/>
        <item x="0"/>
        <item t="default"/>
      </items>
    </pivotField>
    <pivotField showAll="0"/>
    <pivotField showAll="0"/>
    <pivotField showAll="0"/>
  </pivotFields>
  <rowFields count="1">
    <field x="5"/>
  </rowFields>
  <rowItems count="6">
    <i>
      <x/>
    </i>
    <i>
      <x v="1"/>
    </i>
    <i>
      <x v="2"/>
    </i>
    <i>
      <x v="3"/>
    </i>
    <i>
      <x v="4"/>
    </i>
    <i t="grand">
      <x/>
    </i>
  </rowItems>
  <colFields count="1">
    <field x="7"/>
  </colFields>
  <colItems count="3">
    <i>
      <x/>
    </i>
    <i>
      <x v="1"/>
    </i>
    <i t="grand">
      <x/>
    </i>
  </colItems>
  <dataFields count="1">
    <dataField name="Count of EmpID" fld="0" subtotal="count" baseField="0" baseItem="0"/>
  </dataFields>
  <chartFormats count="2">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E42145-BED7-4603-ACD5-036450E6D1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D20" firstHeaderRow="1" firstDataRow="2" firstDataCol="1"/>
  <pivotFields count="11">
    <pivotField dataField="1" showAll="0"/>
    <pivotField showAll="0"/>
    <pivotField showAll="0"/>
    <pivotField showAll="0"/>
    <pivotField showAll="0"/>
    <pivotField showAll="0"/>
    <pivotField showAll="0"/>
    <pivotField axis="axisCol" showAll="0">
      <items count="3">
        <item x="1"/>
        <item x="0"/>
        <item t="default"/>
      </items>
    </pivotField>
    <pivotField axis="axisRow" showAll="0">
      <items count="4">
        <item x="1"/>
        <item x="2"/>
        <item x="0"/>
        <item t="default"/>
      </items>
    </pivotField>
    <pivotField showAll="0"/>
    <pivotField showAll="0"/>
  </pivotFields>
  <rowFields count="1">
    <field x="8"/>
  </rowFields>
  <rowItems count="4">
    <i>
      <x/>
    </i>
    <i>
      <x v="1"/>
    </i>
    <i>
      <x v="2"/>
    </i>
    <i t="grand">
      <x/>
    </i>
  </rowItems>
  <colFields count="1">
    <field x="7"/>
  </colFields>
  <colItems count="3">
    <i>
      <x/>
    </i>
    <i>
      <x v="1"/>
    </i>
    <i t="grand">
      <x/>
    </i>
  </colItems>
  <dataFields count="1">
    <dataField name="Count of EmpID" fld="0" subtotal="count" baseField="0" baseItem="0"/>
  </dataFields>
  <chartFormats count="2">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F60EA-5D5C-46F2-97F3-E219778AD4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D13" firstHeaderRow="1" firstDataRow="2" firstDataCol="1"/>
  <pivotFields count="11">
    <pivotField dataField="1" showAll="0"/>
    <pivotField showAll="0"/>
    <pivotField axis="axisRow" showAll="0">
      <items count="4">
        <item x="1"/>
        <item x="2"/>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s>
  <rowFields count="1">
    <field x="2"/>
  </rowFields>
  <rowItems count="4">
    <i>
      <x/>
    </i>
    <i>
      <x v="1"/>
    </i>
    <i>
      <x v="2"/>
    </i>
    <i t="grand">
      <x/>
    </i>
  </rowItems>
  <colFields count="1">
    <field x="7"/>
  </colFields>
  <colItems count="3">
    <i>
      <x/>
    </i>
    <i>
      <x v="1"/>
    </i>
    <i t="grand">
      <x/>
    </i>
  </colItems>
  <dataFields count="1">
    <dataField name="Count of EmpID" fld="0" subtotal="count" baseField="0" baseItem="0"/>
  </dataFields>
  <chartFormats count="8">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3">
          <reference field="4294967294" count="1" selected="0">
            <x v="0"/>
          </reference>
          <reference field="2" count="1" selected="0">
            <x v="0"/>
          </reference>
          <reference field="7" count="1" selected="0">
            <x v="0"/>
          </reference>
        </references>
      </pivotArea>
    </chartFormat>
    <chartFormat chart="2" format="7">
      <pivotArea type="data" outline="0" fieldPosition="0">
        <references count="3">
          <reference field="4294967294" count="1" selected="0">
            <x v="0"/>
          </reference>
          <reference field="2" count="1" selected="0">
            <x v="1"/>
          </reference>
          <reference field="7" count="1" selected="0">
            <x v="0"/>
          </reference>
        </references>
      </pivotArea>
    </chartFormat>
    <chartFormat chart="2" format="8">
      <pivotArea type="data" outline="0" fieldPosition="0">
        <references count="3">
          <reference field="4294967294" count="1" selected="0">
            <x v="0"/>
          </reference>
          <reference field="2" count="1" selected="0">
            <x v="2"/>
          </reference>
          <reference field="7" count="1" selected="0">
            <x v="0"/>
          </reference>
        </references>
      </pivotArea>
    </chartFormat>
    <chartFormat chart="2" format="9">
      <pivotArea type="data" outline="0" fieldPosition="0">
        <references count="3">
          <reference field="4294967294" count="1" selected="0">
            <x v="0"/>
          </reference>
          <reference field="2" count="1" selected="0">
            <x v="0"/>
          </reference>
          <reference field="7" count="1" selected="0">
            <x v="1"/>
          </reference>
        </references>
      </pivotArea>
    </chartFormat>
    <chartFormat chart="2" format="10">
      <pivotArea type="data" outline="0" fieldPosition="0">
        <references count="3">
          <reference field="4294967294" count="1" selected="0">
            <x v="0"/>
          </reference>
          <reference field="2" count="1" selected="0">
            <x v="1"/>
          </reference>
          <reference field="7" count="1" selected="0">
            <x v="1"/>
          </reference>
        </references>
      </pivotArea>
    </chartFormat>
    <chartFormat chart="2" format="11">
      <pivotArea type="data" outline="0" fieldPosition="0">
        <references count="3">
          <reference field="4294967294" count="1" selected="0">
            <x v="0"/>
          </reference>
          <reference field="2"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98E2B-2307-464E-8020-347E3B59E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1">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7"/>
  </rowFields>
  <rowItems count="3">
    <i>
      <x/>
    </i>
    <i>
      <x v="1"/>
    </i>
    <i t="grand">
      <x/>
    </i>
  </rowItems>
  <colItems count="1">
    <i/>
  </colItems>
  <dataFields count="1">
    <dataField name="Count of Emp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613E51-09CA-4811-8183-BDD038397020}" sourceName="Department">
  <pivotTables>
    <pivotTable tabId="8" name="PivotTable6"/>
  </pivotTables>
  <data>
    <tabular pivotCacheId="161072341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8C5EFD50-2CE2-43A4-9923-43029781E3BC}" sourceName="Performance">
  <pivotTables>
    <pivotTable tabId="8" name="PivotTable8"/>
  </pivotTables>
  <data>
    <tabular pivotCacheId="1610723413">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9BE452E-4A61-454F-95CB-EA9F540CF12F}" cache="Slicer_Department" caption="Department" rowHeight="234950"/>
  <slicer name="Performance" xr10:uid="{F3B31C95-B608-4B91-BC2F-F30196416021}" cache="Slicer_Performance" caption="Performan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7CDD98-210D-471B-B981-0423B9255A9A}" name="Table2" displayName="Table2" ref="A1:K51" totalsRowShown="0" headerRowDxfId="23" dataDxfId="22">
  <autoFilter ref="A1:K51" xr:uid="{977CDD98-210D-471B-B981-0423B9255A9A}"/>
  <tableColumns count="11">
    <tableColumn id="1" xr3:uid="{D0798D7C-2492-45F8-B6EA-098E8580BE42}" name="EmpID" dataDxfId="21"/>
    <tableColumn id="2" xr3:uid="{68AD49EE-745B-403F-853C-C48A36345784}" name="Name" dataDxfId="20"/>
    <tableColumn id="3" xr3:uid="{7877D1F2-09C3-4804-B40B-7E6055B30959}" name="Department" dataDxfId="19"/>
    <tableColumn id="4" xr3:uid="{C90E5D5B-CFA7-451C-925D-CB311C5CC1F3}" name="Region" dataDxfId="18"/>
    <tableColumn id="5" xr3:uid="{AA49A53F-3D91-4111-9ADC-CF7B8B43AFFF}" name="Salary" dataDxfId="17"/>
    <tableColumn id="6" xr3:uid="{5E2ABC36-C0EB-43FE-B7DC-79AB60829091}" name="Performance" dataDxfId="16"/>
    <tableColumn id="7" xr3:uid="{F1979B1C-1769-4531-BFCA-5846119C4E7B}" name="Experience" dataDxfId="15"/>
    <tableColumn id="8" xr3:uid="{31A6FF0F-F0D5-4DB6-ABBB-02F5375C5279}" name="Attrition" dataDxfId="14"/>
    <tableColumn id="9" xr3:uid="{BBFF8977-66CB-4301-9C92-36215FC72E46}" name="Salary Band" dataDxfId="13">
      <calculatedColumnFormula>IF(E2&lt;30000,"Low",IF(E2&lt;50000,"Medium","High"))</calculatedColumnFormula>
    </tableColumn>
    <tableColumn id="10" xr3:uid="{1BF62D4A-6BE1-4C3D-8608-325606B0DD48}" name="Experience Level">
      <calculatedColumnFormula>IF(G2&lt;=2,"Fresher","Experienced")</calculatedColumnFormula>
    </tableColumn>
    <tableColumn id="11" xr3:uid="{38984949-327C-41D6-9960-FE6C2AF9EA5B}" name="Attrition Flag" dataDxfId="12">
      <calculatedColumnFormula>IF(H2="Yes",1,0)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36E879-5EA4-47B2-986E-071A031B4CF6}" name="Table25" displayName="Table25" ref="A1:K51" totalsRowShown="0" headerRowDxfId="11" dataDxfId="10">
  <autoFilter ref="A1:K51" xr:uid="{A736E879-5EA4-47B2-986E-071A031B4CF6}"/>
  <tableColumns count="11">
    <tableColumn id="1" xr3:uid="{98EE7C48-E838-47F0-BDBA-92FB6CC17DF5}" name="EmpID" dataDxfId="9"/>
    <tableColumn id="2" xr3:uid="{450320C1-25E4-44E1-9215-1D3B187F98B5}" name="Name" dataDxfId="8"/>
    <tableColumn id="3" xr3:uid="{C242DDAB-F8A4-41B6-8C67-8E9F29485422}" name="Department" dataDxfId="7"/>
    <tableColumn id="4" xr3:uid="{EEE36EDB-B4F7-44E4-8694-09AFA9850F14}" name="Region" dataDxfId="6"/>
    <tableColumn id="5" xr3:uid="{3E4A0310-296C-4E92-97C1-4F10952D1A2A}" name="Salary" dataDxfId="5"/>
    <tableColumn id="6" xr3:uid="{479E8745-2DA5-412F-9D59-FA637EA41487}" name="Performance" dataDxfId="4"/>
    <tableColumn id="7" xr3:uid="{87845EFD-0BC2-4114-8D15-DA813BFFB7E0}" name="Experience" dataDxfId="3"/>
    <tableColumn id="8" xr3:uid="{C31B30B4-719E-424F-A16E-3F91BE7413A0}" name="Attrition" dataDxfId="2"/>
    <tableColumn id="9" xr3:uid="{D10B2C83-E631-4196-97A0-E4ABE57B98E1}" name="Salary Band" dataDxfId="1">
      <calculatedColumnFormula>IF(E2&lt;30000,"Low",IF(E2&lt;50000,"Medium","High"))</calculatedColumnFormula>
    </tableColumn>
    <tableColumn id="10" xr3:uid="{9655E4D3-F7B8-42EC-8CD6-26187EBE3C7A}" name="Experience Level">
      <calculatedColumnFormula>IF(G2&lt;=2,"Fresher","Experienced")</calculatedColumnFormula>
    </tableColumn>
    <tableColumn id="11" xr3:uid="{376BD929-672D-4562-B23A-83959EEBEAA5}" name="Attrition Flag" dataDxfId="0">
      <calculatedColumnFormula>IF(H2="Yes",1,0)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A4C2-823D-4F2B-B4D8-0AE29E9B7A65}">
  <dimension ref="A1:A51"/>
  <sheetViews>
    <sheetView workbookViewId="0">
      <selection activeCell="F21" sqref="F21"/>
    </sheetView>
  </sheetViews>
  <sheetFormatPr defaultRowHeight="14.4"/>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6D57-D624-4890-BC56-26FE021264C3}">
  <dimension ref="A2:I20"/>
  <sheetViews>
    <sheetView workbookViewId="0">
      <selection activeCell="M33" sqref="M33"/>
    </sheetView>
  </sheetViews>
  <sheetFormatPr defaultRowHeight="14.4"/>
  <cols>
    <col min="1" max="1" width="14.44140625" bestFit="1" customWidth="1"/>
    <col min="2" max="2" width="15.5546875" bestFit="1" customWidth="1"/>
    <col min="3" max="3" width="3.77734375" bestFit="1" customWidth="1"/>
    <col min="4" max="4" width="10.77734375" bestFit="1" customWidth="1"/>
    <col min="6" max="6" width="14.44140625" bestFit="1" customWidth="1"/>
    <col min="7" max="7" width="15.5546875" bestFit="1" customWidth="1"/>
    <col min="8" max="8" width="3.77734375" bestFit="1" customWidth="1"/>
    <col min="9" max="9" width="10.77734375" bestFit="1" customWidth="1"/>
  </cols>
  <sheetData>
    <row r="2" spans="1:9">
      <c r="F2" s="8" t="s">
        <v>195</v>
      </c>
      <c r="G2" s="8" t="s">
        <v>196</v>
      </c>
    </row>
    <row r="3" spans="1:9">
      <c r="A3" s="8" t="s">
        <v>193</v>
      </c>
      <c r="B3" t="s">
        <v>195</v>
      </c>
      <c r="F3" s="8" t="s">
        <v>193</v>
      </c>
      <c r="G3" t="s">
        <v>68</v>
      </c>
      <c r="H3" t="s">
        <v>63</v>
      </c>
      <c r="I3" t="s">
        <v>194</v>
      </c>
    </row>
    <row r="4" spans="1:9">
      <c r="A4" s="9" t="s">
        <v>68</v>
      </c>
      <c r="B4">
        <v>26</v>
      </c>
      <c r="F4" s="9">
        <v>1</v>
      </c>
      <c r="H4">
        <v>5</v>
      </c>
      <c r="I4">
        <v>5</v>
      </c>
    </row>
    <row r="5" spans="1:9">
      <c r="A5" s="9" t="s">
        <v>63</v>
      </c>
      <c r="B5">
        <v>24</v>
      </c>
      <c r="F5" s="9">
        <v>2</v>
      </c>
      <c r="H5">
        <v>11</v>
      </c>
      <c r="I5">
        <v>11</v>
      </c>
    </row>
    <row r="6" spans="1:9">
      <c r="A6" s="9" t="s">
        <v>194</v>
      </c>
      <c r="B6">
        <v>50</v>
      </c>
      <c r="F6" s="9">
        <v>3</v>
      </c>
      <c r="G6">
        <v>2</v>
      </c>
      <c r="H6">
        <v>8</v>
      </c>
      <c r="I6">
        <v>10</v>
      </c>
    </row>
    <row r="7" spans="1:9">
      <c r="F7" s="9">
        <v>4</v>
      </c>
      <c r="G7">
        <v>15</v>
      </c>
      <c r="I7">
        <v>15</v>
      </c>
    </row>
    <row r="8" spans="1:9">
      <c r="A8" s="8" t="s">
        <v>195</v>
      </c>
      <c r="B8" s="8" t="s">
        <v>196</v>
      </c>
      <c r="F8" s="9">
        <v>5</v>
      </c>
      <c r="G8">
        <v>9</v>
      </c>
      <c r="I8">
        <v>9</v>
      </c>
    </row>
    <row r="9" spans="1:9">
      <c r="A9" s="8" t="s">
        <v>193</v>
      </c>
      <c r="B9" t="s">
        <v>68</v>
      </c>
      <c r="C9" t="s">
        <v>63</v>
      </c>
      <c r="D9" t="s">
        <v>194</v>
      </c>
      <c r="F9" s="9" t="s">
        <v>194</v>
      </c>
      <c r="G9">
        <v>26</v>
      </c>
      <c r="H9">
        <v>24</v>
      </c>
      <c r="I9">
        <v>50</v>
      </c>
    </row>
    <row r="10" spans="1:9">
      <c r="A10" s="9" t="s">
        <v>66</v>
      </c>
      <c r="B10">
        <v>9</v>
      </c>
      <c r="C10">
        <v>7</v>
      </c>
      <c r="D10">
        <v>16</v>
      </c>
    </row>
    <row r="11" spans="1:9">
      <c r="A11" s="9" t="s">
        <v>71</v>
      </c>
      <c r="B11">
        <v>17</v>
      </c>
      <c r="D11">
        <v>17</v>
      </c>
    </row>
    <row r="12" spans="1:9">
      <c r="A12" s="9" t="s">
        <v>61</v>
      </c>
      <c r="C12">
        <v>17</v>
      </c>
      <c r="D12">
        <v>17</v>
      </c>
    </row>
    <row r="13" spans="1:9">
      <c r="A13" s="9" t="s">
        <v>194</v>
      </c>
      <c r="B13">
        <v>26</v>
      </c>
      <c r="C13">
        <v>24</v>
      </c>
      <c r="D13">
        <v>50</v>
      </c>
    </row>
    <row r="15" spans="1:9">
      <c r="A15" s="8" t="s">
        <v>195</v>
      </c>
      <c r="B15" s="8" t="s">
        <v>196</v>
      </c>
    </row>
    <row r="16" spans="1:9">
      <c r="A16" s="8" t="s">
        <v>193</v>
      </c>
      <c r="B16" t="s">
        <v>68</v>
      </c>
      <c r="C16" t="s">
        <v>63</v>
      </c>
      <c r="D16" t="s">
        <v>194</v>
      </c>
    </row>
    <row r="17" spans="1:4">
      <c r="A17" s="9" t="s">
        <v>197</v>
      </c>
      <c r="B17">
        <v>17</v>
      </c>
      <c r="D17">
        <v>17</v>
      </c>
    </row>
    <row r="18" spans="1:4">
      <c r="A18" s="9" t="s">
        <v>169</v>
      </c>
      <c r="C18">
        <v>11</v>
      </c>
      <c r="D18">
        <v>11</v>
      </c>
    </row>
    <row r="19" spans="1:4">
      <c r="A19" s="9" t="s">
        <v>170</v>
      </c>
      <c r="B19">
        <v>9</v>
      </c>
      <c r="C19">
        <v>13</v>
      </c>
      <c r="D19">
        <v>22</v>
      </c>
    </row>
    <row r="20" spans="1:4">
      <c r="A20" s="9" t="s">
        <v>194</v>
      </c>
      <c r="B20">
        <v>26</v>
      </c>
      <c r="C20">
        <v>24</v>
      </c>
      <c r="D20">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65B8-E513-4B91-9C69-205056754876}">
  <dimension ref="A1:AH28"/>
  <sheetViews>
    <sheetView showGridLines="0" tabSelected="1" zoomScale="54" zoomScaleNormal="58" workbookViewId="0">
      <selection activeCell="L39" sqref="L39"/>
    </sheetView>
  </sheetViews>
  <sheetFormatPr defaultRowHeight="14.4"/>
  <cols>
    <col min="10" max="10" width="27.5546875" bestFit="1" customWidth="1"/>
    <col min="11" max="11" width="26.21875" bestFit="1" customWidth="1"/>
    <col min="12" max="12" width="25.77734375" bestFit="1" customWidth="1"/>
    <col min="13" max="13" width="27.5546875" bestFit="1" customWidth="1"/>
  </cols>
  <sheetData>
    <row r="1" spans="1:34">
      <c r="A1" s="18" t="s">
        <v>201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row>
    <row r="2" spans="1:34" ht="37.200000000000003" customHeight="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row>
    <row r="4" spans="1:34" ht="23.4">
      <c r="J4" s="12" t="s">
        <v>203</v>
      </c>
      <c r="K4" s="12" t="s">
        <v>204</v>
      </c>
      <c r="L4" s="12" t="s">
        <v>205</v>
      </c>
      <c r="M4" s="12" t="s">
        <v>206</v>
      </c>
      <c r="N4" s="11"/>
    </row>
    <row r="5" spans="1:34" ht="25.8">
      <c r="A5" s="14" t="s">
        <v>198</v>
      </c>
      <c r="B5" s="15"/>
      <c r="C5" s="15"/>
      <c r="D5" s="15"/>
      <c r="E5" s="15"/>
      <c r="F5" s="15"/>
      <c r="G5" s="15"/>
      <c r="J5" s="12">
        <f>COUNTA(Table25[EmpID])</f>
        <v>50</v>
      </c>
      <c r="K5" s="12">
        <f>COUNTIF(Sheet13!H2:H52,"Yes")</f>
        <v>24</v>
      </c>
      <c r="L5" s="13">
        <f>K5/J5</f>
        <v>0.48</v>
      </c>
      <c r="M5" s="12">
        <f>Sheet13!M51/J5</f>
        <v>39900</v>
      </c>
      <c r="N5" s="11"/>
      <c r="AA5" s="16" t="s">
        <v>200</v>
      </c>
      <c r="AB5" s="17"/>
      <c r="AC5" s="17"/>
      <c r="AD5" s="17"/>
      <c r="AE5" s="17"/>
      <c r="AF5" s="17"/>
      <c r="AG5" s="17"/>
      <c r="AH5" s="17"/>
    </row>
    <row r="9" spans="1:34">
      <c r="K9" s="1"/>
    </row>
    <row r="10" spans="1:34">
      <c r="J10" s="1"/>
      <c r="K10" s="1"/>
      <c r="L10" s="10"/>
    </row>
    <row r="20" spans="1:25" ht="25.8">
      <c r="Q20" s="16" t="s">
        <v>202</v>
      </c>
      <c r="R20" s="17"/>
      <c r="S20" s="17"/>
      <c r="T20" s="17"/>
      <c r="U20" s="17"/>
      <c r="V20" s="17"/>
      <c r="W20" s="17"/>
      <c r="X20" s="17"/>
      <c r="Y20" s="17"/>
    </row>
    <row r="28" spans="1:25" ht="25.8">
      <c r="A28" s="16" t="s">
        <v>199</v>
      </c>
      <c r="B28" s="17"/>
      <c r="C28" s="17"/>
      <c r="D28" s="17"/>
      <c r="E28" s="17"/>
      <c r="F28" s="17"/>
      <c r="G28" s="17"/>
      <c r="H28" s="19"/>
      <c r="I28" s="19"/>
    </row>
  </sheetData>
  <mergeCells count="6">
    <mergeCell ref="A5:G5"/>
    <mergeCell ref="A28:G28"/>
    <mergeCell ref="AA5:AH5"/>
    <mergeCell ref="A1:AH2"/>
    <mergeCell ref="Q20:Y20"/>
    <mergeCell ref="H28:I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BBAA-837B-4509-9B0C-2CF7D0E51F79}">
  <dimension ref="A1:I33"/>
  <sheetViews>
    <sheetView topLeftCell="A11" workbookViewId="0">
      <selection activeCell="E44" sqref="E43:E44"/>
    </sheetView>
  </sheetViews>
  <sheetFormatPr defaultRowHeight="14.4"/>
  <sheetData>
    <row r="1" spans="1:9" ht="31.2">
      <c r="A1" s="3" t="s">
        <v>173</v>
      </c>
      <c r="I1" s="6" t="s">
        <v>187</v>
      </c>
    </row>
    <row r="2" spans="1:9">
      <c r="A2" s="4"/>
    </row>
    <row r="3" spans="1:9">
      <c r="A3" s="4" t="s">
        <v>174</v>
      </c>
      <c r="I3" t="s">
        <v>188</v>
      </c>
    </row>
    <row r="4" spans="1:9">
      <c r="A4" s="4" t="s">
        <v>175</v>
      </c>
    </row>
    <row r="6" spans="1:9">
      <c r="A6" t="s">
        <v>176</v>
      </c>
    </row>
    <row r="7" spans="1:9" ht="23.4">
      <c r="A7" s="5" t="s">
        <v>177</v>
      </c>
      <c r="I7" s="3" t="s">
        <v>189</v>
      </c>
    </row>
    <row r="8" spans="1:9">
      <c r="I8" s="2"/>
    </row>
    <row r="9" spans="1:9">
      <c r="I9" s="7">
        <f>COUNTA(A:A)-1</f>
        <v>17</v>
      </c>
    </row>
    <row r="11" spans="1:9" ht="23.4">
      <c r="A11" s="3" t="s">
        <v>178</v>
      </c>
    </row>
    <row r="12" spans="1:9">
      <c r="A12" s="4"/>
    </row>
    <row r="13" spans="1:9" ht="23.4">
      <c r="A13" s="4" t="s">
        <v>179</v>
      </c>
      <c r="I13" s="3" t="s">
        <v>190</v>
      </c>
    </row>
    <row r="14" spans="1:9">
      <c r="A14" s="4" t="s">
        <v>180</v>
      </c>
      <c r="I14" s="2"/>
    </row>
    <row r="15" spans="1:9">
      <c r="A15" s="4" t="s">
        <v>181</v>
      </c>
      <c r="I15" s="7">
        <f>COUNTIF(H:H,"Yes")</f>
        <v>0</v>
      </c>
    </row>
    <row r="17" spans="1:9">
      <c r="A17" t="s">
        <v>182</v>
      </c>
    </row>
    <row r="19" spans="1:9" ht="23.4">
      <c r="I19" s="3" t="s">
        <v>191</v>
      </c>
    </row>
    <row r="20" spans="1:9">
      <c r="I20" s="2"/>
    </row>
    <row r="21" spans="1:9" ht="23.4">
      <c r="A21" s="3" t="s">
        <v>183</v>
      </c>
      <c r="I21" s="7" t="e" cm="1">
        <f t="array" ref="I21">Attrition Count / Total Employees</f>
        <v>#NAME?</v>
      </c>
    </row>
    <row r="22" spans="1:9">
      <c r="A22" s="4"/>
    </row>
    <row r="23" spans="1:9">
      <c r="A23" s="4" t="s">
        <v>184</v>
      </c>
      <c r="I23" t="s">
        <v>192</v>
      </c>
    </row>
    <row r="24" spans="1:9">
      <c r="A24" s="4" t="s">
        <v>180</v>
      </c>
    </row>
    <row r="25" spans="1:9">
      <c r="A25" s="4" t="s">
        <v>181</v>
      </c>
    </row>
    <row r="29" spans="1:9" ht="23.4">
      <c r="A29" s="3" t="s">
        <v>185</v>
      </c>
    </row>
    <row r="30" spans="1:9">
      <c r="A30" s="4"/>
    </row>
    <row r="31" spans="1:9">
      <c r="A31" s="4" t="s">
        <v>186</v>
      </c>
    </row>
    <row r="32" spans="1:9">
      <c r="A32" s="4" t="s">
        <v>180</v>
      </c>
    </row>
    <row r="33" spans="1:1">
      <c r="A33" s="4"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2916-6722-4416-9225-A04EE9452A27}">
  <dimension ref="A1:K51"/>
  <sheetViews>
    <sheetView workbookViewId="0">
      <selection activeCell="E28" sqref="E28"/>
    </sheetView>
  </sheetViews>
  <sheetFormatPr defaultRowHeight="14.4"/>
  <cols>
    <col min="1" max="1" width="11" bestFit="1" customWidth="1"/>
    <col min="2" max="2" width="10.44140625" bestFit="1" customWidth="1"/>
    <col min="3" max="3" width="15.5546875" bestFit="1" customWidth="1"/>
    <col min="4" max="4" width="11.21875" bestFit="1" customWidth="1"/>
    <col min="5" max="5" width="10.5546875" bestFit="1" customWidth="1"/>
    <col min="6" max="6" width="16.33203125" bestFit="1" customWidth="1"/>
    <col min="7" max="7" width="14.5546875" bestFit="1" customWidth="1"/>
    <col min="8" max="8" width="12.44140625" bestFit="1" customWidth="1"/>
    <col min="9" max="9" width="15.33203125" bestFit="1" customWidth="1"/>
    <col min="10" max="10" width="19.44140625" bestFit="1" customWidth="1"/>
    <col min="11" max="11" width="16.21875" bestFit="1" customWidth="1"/>
  </cols>
  <sheetData>
    <row r="1" spans="1:11">
      <c r="A1" s="1" t="s">
        <v>51</v>
      </c>
      <c r="B1" s="1" t="s">
        <v>52</v>
      </c>
      <c r="C1" s="1" t="s">
        <v>53</v>
      </c>
      <c r="D1" s="1" t="s">
        <v>54</v>
      </c>
      <c r="E1" s="1" t="s">
        <v>55</v>
      </c>
      <c r="F1" s="1" t="s">
        <v>56</v>
      </c>
      <c r="G1" s="1" t="s">
        <v>57</v>
      </c>
      <c r="H1" s="1" t="s">
        <v>58</v>
      </c>
      <c r="I1" s="1" t="s">
        <v>168</v>
      </c>
      <c r="J1" s="1" t="s">
        <v>171</v>
      </c>
      <c r="K1" s="1" t="s">
        <v>172</v>
      </c>
    </row>
    <row r="2" spans="1:11">
      <c r="A2" s="1" t="s">
        <v>59</v>
      </c>
      <c r="B2" s="1" t="s">
        <v>60</v>
      </c>
      <c r="C2" s="1" t="s">
        <v>61</v>
      </c>
      <c r="D2" s="1" t="s">
        <v>62</v>
      </c>
      <c r="E2" s="1">
        <v>30000</v>
      </c>
      <c r="F2" s="1">
        <v>3</v>
      </c>
      <c r="G2" s="1">
        <v>2</v>
      </c>
      <c r="H2" s="1" t="s">
        <v>63</v>
      </c>
      <c r="I2" s="1" t="str">
        <f>IF(E2&lt;30000,"Low",IF(E2&lt;50000,"Medium","High"))</f>
        <v>Medium</v>
      </c>
      <c r="J2" t="str">
        <f>IF(G2&lt;=2,"Fresher","Experienced")</f>
        <v>Fresher</v>
      </c>
      <c r="K2" s="1">
        <f>IF(H2="Yes",1,0)</f>
        <v>1</v>
      </c>
    </row>
    <row r="3" spans="1:11">
      <c r="A3" s="1" t="s">
        <v>64</v>
      </c>
      <c r="B3" s="1" t="s">
        <v>65</v>
      </c>
      <c r="C3" s="1" t="s">
        <v>66</v>
      </c>
      <c r="D3" s="1" t="s">
        <v>67</v>
      </c>
      <c r="E3" s="1">
        <v>35000</v>
      </c>
      <c r="F3" s="1">
        <v>4</v>
      </c>
      <c r="G3" s="1">
        <v>3</v>
      </c>
      <c r="H3" s="1" t="s">
        <v>68</v>
      </c>
      <c r="I3" s="1" t="str">
        <f t="shared" ref="I3:I51" si="0">IF(E3&lt;30000,"Low",IF(E3&lt;50000,"Medium","High"))</f>
        <v>Medium</v>
      </c>
      <c r="J3" t="str">
        <f t="shared" ref="J3:J51" si="1">IF(G3&lt;=2,"Fresher","Experienced")</f>
        <v>Experienced</v>
      </c>
      <c r="K3" s="1">
        <f t="shared" ref="K3:K51" si="2">IF(H3="Yes",1,0)</f>
        <v>0</v>
      </c>
    </row>
    <row r="4" spans="1:11">
      <c r="A4" s="1" t="s">
        <v>69</v>
      </c>
      <c r="B4" s="1" t="s">
        <v>70</v>
      </c>
      <c r="C4" s="1" t="s">
        <v>71</v>
      </c>
      <c r="D4" s="1" t="s">
        <v>72</v>
      </c>
      <c r="E4" s="1">
        <v>50000</v>
      </c>
      <c r="F4" s="1">
        <v>5</v>
      </c>
      <c r="G4" s="1">
        <v>5</v>
      </c>
      <c r="H4" s="1" t="s">
        <v>68</v>
      </c>
      <c r="I4" s="1" t="str">
        <f t="shared" si="0"/>
        <v>High</v>
      </c>
      <c r="J4" t="str">
        <f t="shared" si="1"/>
        <v>Experienced</v>
      </c>
      <c r="K4" s="1">
        <f t="shared" si="2"/>
        <v>0</v>
      </c>
    </row>
    <row r="5" spans="1:11">
      <c r="A5" s="1" t="s">
        <v>73</v>
      </c>
      <c r="B5" s="1" t="s">
        <v>74</v>
      </c>
      <c r="C5" s="1" t="s">
        <v>61</v>
      </c>
      <c r="D5" s="1" t="s">
        <v>75</v>
      </c>
      <c r="E5" s="1">
        <v>28000</v>
      </c>
      <c r="F5" s="1">
        <v>2</v>
      </c>
      <c r="G5" s="1">
        <v>1</v>
      </c>
      <c r="H5" s="1" t="s">
        <v>63</v>
      </c>
      <c r="I5" s="1" t="str">
        <f t="shared" si="0"/>
        <v>Low</v>
      </c>
      <c r="J5" t="str">
        <f t="shared" si="1"/>
        <v>Fresher</v>
      </c>
      <c r="K5" s="1">
        <f t="shared" si="2"/>
        <v>1</v>
      </c>
    </row>
    <row r="6" spans="1:11">
      <c r="A6" s="1" t="s">
        <v>76</v>
      </c>
      <c r="B6" s="1" t="s">
        <v>77</v>
      </c>
      <c r="C6" s="1" t="s">
        <v>71</v>
      </c>
      <c r="D6" s="1" t="s">
        <v>62</v>
      </c>
      <c r="E6" s="1">
        <v>52000</v>
      </c>
      <c r="F6" s="1">
        <v>4</v>
      </c>
      <c r="G6" s="1">
        <v>6</v>
      </c>
      <c r="H6" s="1" t="s">
        <v>68</v>
      </c>
      <c r="I6" s="1" t="str">
        <f t="shared" si="0"/>
        <v>High</v>
      </c>
      <c r="J6" t="str">
        <f t="shared" si="1"/>
        <v>Experienced</v>
      </c>
      <c r="K6" s="1">
        <f t="shared" si="2"/>
        <v>0</v>
      </c>
    </row>
    <row r="7" spans="1:11">
      <c r="A7" s="1" t="s">
        <v>78</v>
      </c>
      <c r="B7" s="1" t="s">
        <v>79</v>
      </c>
      <c r="C7" s="1" t="s">
        <v>66</v>
      </c>
      <c r="D7" s="1" t="s">
        <v>67</v>
      </c>
      <c r="E7" s="1">
        <v>34000</v>
      </c>
      <c r="F7" s="1">
        <v>3</v>
      </c>
      <c r="G7" s="1">
        <v>2</v>
      </c>
      <c r="H7" s="1" t="s">
        <v>63</v>
      </c>
      <c r="I7" s="1" t="str">
        <f t="shared" si="0"/>
        <v>Medium</v>
      </c>
      <c r="J7" t="str">
        <f t="shared" si="1"/>
        <v>Fresher</v>
      </c>
      <c r="K7" s="1">
        <f t="shared" si="2"/>
        <v>1</v>
      </c>
    </row>
    <row r="8" spans="1:11">
      <c r="A8" s="1" t="s">
        <v>80</v>
      </c>
      <c r="B8" s="1" t="s">
        <v>81</v>
      </c>
      <c r="C8" s="1" t="s">
        <v>61</v>
      </c>
      <c r="D8" s="1" t="s">
        <v>72</v>
      </c>
      <c r="E8" s="1">
        <v>31000</v>
      </c>
      <c r="F8" s="1">
        <v>2</v>
      </c>
      <c r="G8" s="1">
        <v>2</v>
      </c>
      <c r="H8" s="1" t="s">
        <v>63</v>
      </c>
      <c r="I8" s="1" t="str">
        <f t="shared" si="0"/>
        <v>Medium</v>
      </c>
      <c r="J8" t="str">
        <f t="shared" si="1"/>
        <v>Fresher</v>
      </c>
      <c r="K8" s="1">
        <f t="shared" si="2"/>
        <v>1</v>
      </c>
    </row>
    <row r="9" spans="1:11">
      <c r="A9" s="1" t="s">
        <v>82</v>
      </c>
      <c r="B9" s="1" t="s">
        <v>83</v>
      </c>
      <c r="C9" s="1" t="s">
        <v>71</v>
      </c>
      <c r="D9" s="1" t="s">
        <v>75</v>
      </c>
      <c r="E9" s="1">
        <v>60000</v>
      </c>
      <c r="F9" s="1">
        <v>5</v>
      </c>
      <c r="G9" s="1">
        <v>7</v>
      </c>
      <c r="H9" s="1" t="s">
        <v>68</v>
      </c>
      <c r="I9" s="1" t="str">
        <f t="shared" si="0"/>
        <v>High</v>
      </c>
      <c r="J9" t="str">
        <f t="shared" si="1"/>
        <v>Experienced</v>
      </c>
      <c r="K9" s="1">
        <f t="shared" si="2"/>
        <v>0</v>
      </c>
    </row>
    <row r="10" spans="1:11">
      <c r="A10" s="1" t="s">
        <v>84</v>
      </c>
      <c r="B10" s="1" t="s">
        <v>85</v>
      </c>
      <c r="C10" s="1" t="s">
        <v>66</v>
      </c>
      <c r="D10" s="1" t="s">
        <v>62</v>
      </c>
      <c r="E10" s="1">
        <v>33000</v>
      </c>
      <c r="F10" s="1">
        <v>3</v>
      </c>
      <c r="G10" s="1">
        <v>3</v>
      </c>
      <c r="H10" s="1" t="s">
        <v>68</v>
      </c>
      <c r="I10" s="1" t="str">
        <f t="shared" si="0"/>
        <v>Medium</v>
      </c>
      <c r="J10" t="str">
        <f t="shared" si="1"/>
        <v>Experienced</v>
      </c>
      <c r="K10" s="1">
        <f t="shared" si="2"/>
        <v>0</v>
      </c>
    </row>
    <row r="11" spans="1:11">
      <c r="A11" s="1" t="s">
        <v>86</v>
      </c>
      <c r="B11" s="1" t="s">
        <v>87</v>
      </c>
      <c r="C11" s="1" t="s">
        <v>61</v>
      </c>
      <c r="D11" s="1" t="s">
        <v>67</v>
      </c>
      <c r="E11" s="1">
        <v>29000</v>
      </c>
      <c r="F11" s="1">
        <v>2</v>
      </c>
      <c r="G11" s="1">
        <v>1</v>
      </c>
      <c r="H11" s="1" t="s">
        <v>63</v>
      </c>
      <c r="I11" s="1" t="str">
        <f t="shared" si="0"/>
        <v>Low</v>
      </c>
      <c r="J11" t="str">
        <f t="shared" si="1"/>
        <v>Fresher</v>
      </c>
      <c r="K11" s="1">
        <f t="shared" si="2"/>
        <v>1</v>
      </c>
    </row>
    <row r="12" spans="1:11">
      <c r="A12" s="1" t="s">
        <v>88</v>
      </c>
      <c r="B12" s="1" t="s">
        <v>89</v>
      </c>
      <c r="C12" s="1" t="s">
        <v>71</v>
      </c>
      <c r="D12" s="1" t="s">
        <v>72</v>
      </c>
      <c r="E12" s="1">
        <v>55000</v>
      </c>
      <c r="F12" s="1">
        <v>4</v>
      </c>
      <c r="G12" s="1">
        <v>5</v>
      </c>
      <c r="H12" s="1" t="s">
        <v>68</v>
      </c>
      <c r="I12" s="1" t="str">
        <f t="shared" si="0"/>
        <v>High</v>
      </c>
      <c r="J12" t="str">
        <f t="shared" si="1"/>
        <v>Experienced</v>
      </c>
      <c r="K12" s="1">
        <f t="shared" si="2"/>
        <v>0</v>
      </c>
    </row>
    <row r="13" spans="1:11">
      <c r="A13" s="1" t="s">
        <v>90</v>
      </c>
      <c r="B13" s="1" t="s">
        <v>91</v>
      </c>
      <c r="C13" s="1" t="s">
        <v>66</v>
      </c>
      <c r="D13" s="1" t="s">
        <v>75</v>
      </c>
      <c r="E13" s="1">
        <v>36000</v>
      </c>
      <c r="F13" s="1">
        <v>4</v>
      </c>
      <c r="G13" s="1">
        <v>4</v>
      </c>
      <c r="H13" s="1" t="s">
        <v>68</v>
      </c>
      <c r="I13" s="1" t="str">
        <f t="shared" si="0"/>
        <v>Medium</v>
      </c>
      <c r="J13" t="str">
        <f t="shared" si="1"/>
        <v>Experienced</v>
      </c>
      <c r="K13" s="1">
        <f t="shared" si="2"/>
        <v>0</v>
      </c>
    </row>
    <row r="14" spans="1:11">
      <c r="A14" s="1" t="s">
        <v>92</v>
      </c>
      <c r="B14" s="1" t="s">
        <v>93</v>
      </c>
      <c r="C14" s="1" t="s">
        <v>61</v>
      </c>
      <c r="D14" s="1" t="s">
        <v>62</v>
      </c>
      <c r="E14" s="1">
        <v>27000</v>
      </c>
      <c r="F14" s="1">
        <v>1</v>
      </c>
      <c r="G14" s="1">
        <v>1</v>
      </c>
      <c r="H14" s="1" t="s">
        <v>63</v>
      </c>
      <c r="I14" s="1" t="str">
        <f t="shared" si="0"/>
        <v>Low</v>
      </c>
      <c r="J14" t="str">
        <f t="shared" si="1"/>
        <v>Fresher</v>
      </c>
      <c r="K14" s="1">
        <f t="shared" si="2"/>
        <v>1</v>
      </c>
    </row>
    <row r="15" spans="1:11">
      <c r="A15" s="1" t="s">
        <v>94</v>
      </c>
      <c r="B15" s="1" t="s">
        <v>95</v>
      </c>
      <c r="C15" s="1" t="s">
        <v>71</v>
      </c>
      <c r="D15" s="1" t="s">
        <v>67</v>
      </c>
      <c r="E15" s="1">
        <v>58000</v>
      </c>
      <c r="F15" s="1">
        <v>5</v>
      </c>
      <c r="G15" s="1">
        <v>6</v>
      </c>
      <c r="H15" s="1" t="s">
        <v>68</v>
      </c>
      <c r="I15" s="1" t="str">
        <f t="shared" si="0"/>
        <v>High</v>
      </c>
      <c r="J15" t="str">
        <f t="shared" si="1"/>
        <v>Experienced</v>
      </c>
      <c r="K15" s="1">
        <f t="shared" si="2"/>
        <v>0</v>
      </c>
    </row>
    <row r="16" spans="1:11">
      <c r="A16" s="1" t="s">
        <v>96</v>
      </c>
      <c r="B16" s="1" t="s">
        <v>97</v>
      </c>
      <c r="C16" s="1" t="s">
        <v>66</v>
      </c>
      <c r="D16" s="1" t="s">
        <v>72</v>
      </c>
      <c r="E16" s="1">
        <v>32000</v>
      </c>
      <c r="F16" s="1">
        <v>3</v>
      </c>
      <c r="G16" s="1">
        <v>2</v>
      </c>
      <c r="H16" s="1" t="s">
        <v>63</v>
      </c>
      <c r="I16" s="1" t="str">
        <f t="shared" si="0"/>
        <v>Medium</v>
      </c>
      <c r="J16" t="str">
        <f t="shared" si="1"/>
        <v>Fresher</v>
      </c>
      <c r="K16" s="1">
        <f t="shared" si="2"/>
        <v>1</v>
      </c>
    </row>
    <row r="17" spans="1:11">
      <c r="A17" s="1" t="s">
        <v>98</v>
      </c>
      <c r="B17" s="1" t="s">
        <v>99</v>
      </c>
      <c r="C17" s="1" t="s">
        <v>61</v>
      </c>
      <c r="D17" s="1" t="s">
        <v>75</v>
      </c>
      <c r="E17" s="1">
        <v>30000</v>
      </c>
      <c r="F17" s="1">
        <v>2</v>
      </c>
      <c r="G17" s="1">
        <v>2</v>
      </c>
      <c r="H17" s="1" t="s">
        <v>63</v>
      </c>
      <c r="I17" s="1" t="str">
        <f t="shared" si="0"/>
        <v>Medium</v>
      </c>
      <c r="J17" t="str">
        <f t="shared" si="1"/>
        <v>Fresher</v>
      </c>
      <c r="K17" s="1">
        <f t="shared" si="2"/>
        <v>1</v>
      </c>
    </row>
    <row r="18" spans="1:11">
      <c r="A18" s="1" t="s">
        <v>100</v>
      </c>
      <c r="B18" s="1" t="s">
        <v>101</v>
      </c>
      <c r="C18" s="1" t="s">
        <v>71</v>
      </c>
      <c r="D18" s="1" t="s">
        <v>62</v>
      </c>
      <c r="E18" s="1">
        <v>51000</v>
      </c>
      <c r="F18" s="1">
        <v>4</v>
      </c>
      <c r="G18" s="1">
        <v>5</v>
      </c>
      <c r="H18" s="1" t="s">
        <v>68</v>
      </c>
      <c r="I18" s="1" t="str">
        <f t="shared" si="0"/>
        <v>High</v>
      </c>
      <c r="J18" t="str">
        <f t="shared" si="1"/>
        <v>Experienced</v>
      </c>
      <c r="K18" s="1">
        <f t="shared" si="2"/>
        <v>0</v>
      </c>
    </row>
    <row r="19" spans="1:11">
      <c r="A19" s="1" t="s">
        <v>102</v>
      </c>
      <c r="B19" s="1" t="s">
        <v>103</v>
      </c>
      <c r="C19" s="1" t="s">
        <v>66</v>
      </c>
      <c r="D19" s="1" t="s">
        <v>67</v>
      </c>
      <c r="E19" s="1">
        <v>37000</v>
      </c>
      <c r="F19" s="1">
        <v>4</v>
      </c>
      <c r="G19" s="1">
        <v>3</v>
      </c>
      <c r="H19" s="1" t="s">
        <v>68</v>
      </c>
      <c r="I19" s="1" t="str">
        <f t="shared" si="0"/>
        <v>Medium</v>
      </c>
      <c r="J19" t="str">
        <f t="shared" si="1"/>
        <v>Experienced</v>
      </c>
      <c r="K19" s="1">
        <f t="shared" si="2"/>
        <v>0</v>
      </c>
    </row>
    <row r="20" spans="1:11">
      <c r="A20" s="1" t="s">
        <v>104</v>
      </c>
      <c r="B20" s="1" t="s">
        <v>105</v>
      </c>
      <c r="C20" s="1" t="s">
        <v>61</v>
      </c>
      <c r="D20" s="1" t="s">
        <v>72</v>
      </c>
      <c r="E20" s="1">
        <v>26000</v>
      </c>
      <c r="F20" s="1">
        <v>1</v>
      </c>
      <c r="G20" s="1">
        <v>1</v>
      </c>
      <c r="H20" s="1" t="s">
        <v>63</v>
      </c>
      <c r="I20" s="1" t="str">
        <f t="shared" si="0"/>
        <v>Low</v>
      </c>
      <c r="J20" t="str">
        <f t="shared" si="1"/>
        <v>Fresher</v>
      </c>
      <c r="K20" s="1">
        <f t="shared" si="2"/>
        <v>1</v>
      </c>
    </row>
    <row r="21" spans="1:11">
      <c r="A21" s="1" t="s">
        <v>106</v>
      </c>
      <c r="B21" s="1" t="s">
        <v>107</v>
      </c>
      <c r="C21" s="1" t="s">
        <v>71</v>
      </c>
      <c r="D21" s="1" t="s">
        <v>75</v>
      </c>
      <c r="E21" s="1">
        <v>62000</v>
      </c>
      <c r="F21" s="1">
        <v>5</v>
      </c>
      <c r="G21" s="1">
        <v>8</v>
      </c>
      <c r="H21" s="1" t="s">
        <v>68</v>
      </c>
      <c r="I21" s="1" t="str">
        <f t="shared" si="0"/>
        <v>High</v>
      </c>
      <c r="J21" t="str">
        <f t="shared" si="1"/>
        <v>Experienced</v>
      </c>
      <c r="K21" s="1">
        <f t="shared" si="2"/>
        <v>0</v>
      </c>
    </row>
    <row r="22" spans="1:11">
      <c r="A22" s="1" t="s">
        <v>108</v>
      </c>
      <c r="B22" s="1" t="s">
        <v>109</v>
      </c>
      <c r="C22" s="1" t="s">
        <v>66</v>
      </c>
      <c r="D22" s="1" t="s">
        <v>62</v>
      </c>
      <c r="E22" s="1">
        <v>34000</v>
      </c>
      <c r="F22" s="1">
        <v>3</v>
      </c>
      <c r="G22" s="1">
        <v>2</v>
      </c>
      <c r="H22" s="1" t="s">
        <v>63</v>
      </c>
      <c r="I22" s="1" t="str">
        <f t="shared" si="0"/>
        <v>Medium</v>
      </c>
      <c r="J22" t="str">
        <f t="shared" si="1"/>
        <v>Fresher</v>
      </c>
      <c r="K22" s="1">
        <f t="shared" si="2"/>
        <v>1</v>
      </c>
    </row>
    <row r="23" spans="1:11">
      <c r="A23" s="1" t="s">
        <v>110</v>
      </c>
      <c r="B23" s="1" t="s">
        <v>111</v>
      </c>
      <c r="C23" s="1" t="s">
        <v>61</v>
      </c>
      <c r="D23" s="1" t="s">
        <v>67</v>
      </c>
      <c r="E23" s="1">
        <v>31000</v>
      </c>
      <c r="F23" s="1">
        <v>2</v>
      </c>
      <c r="G23" s="1">
        <v>2</v>
      </c>
      <c r="H23" s="1" t="s">
        <v>63</v>
      </c>
      <c r="I23" s="1" t="str">
        <f t="shared" si="0"/>
        <v>Medium</v>
      </c>
      <c r="J23" t="str">
        <f t="shared" si="1"/>
        <v>Fresher</v>
      </c>
      <c r="K23" s="1">
        <f t="shared" si="2"/>
        <v>1</v>
      </c>
    </row>
    <row r="24" spans="1:11">
      <c r="A24" s="1" t="s">
        <v>112</v>
      </c>
      <c r="B24" s="1" t="s">
        <v>113</v>
      </c>
      <c r="C24" s="1" t="s">
        <v>71</v>
      </c>
      <c r="D24" s="1" t="s">
        <v>72</v>
      </c>
      <c r="E24" s="1">
        <v>54000</v>
      </c>
      <c r="F24" s="1">
        <v>4</v>
      </c>
      <c r="G24" s="1">
        <v>6</v>
      </c>
      <c r="H24" s="1" t="s">
        <v>68</v>
      </c>
      <c r="I24" s="1" t="str">
        <f t="shared" si="0"/>
        <v>High</v>
      </c>
      <c r="J24" t="str">
        <f t="shared" si="1"/>
        <v>Experienced</v>
      </c>
      <c r="K24" s="1">
        <f t="shared" si="2"/>
        <v>0</v>
      </c>
    </row>
    <row r="25" spans="1:11">
      <c r="A25" s="1" t="s">
        <v>114</v>
      </c>
      <c r="B25" s="1" t="s">
        <v>115</v>
      </c>
      <c r="C25" s="1" t="s">
        <v>66</v>
      </c>
      <c r="D25" s="1" t="s">
        <v>75</v>
      </c>
      <c r="E25" s="1">
        <v>36000</v>
      </c>
      <c r="F25" s="1">
        <v>3</v>
      </c>
      <c r="G25" s="1">
        <v>3</v>
      </c>
      <c r="H25" s="1" t="s">
        <v>68</v>
      </c>
      <c r="I25" s="1" t="str">
        <f t="shared" si="0"/>
        <v>Medium</v>
      </c>
      <c r="J25" t="str">
        <f t="shared" si="1"/>
        <v>Experienced</v>
      </c>
      <c r="K25" s="1">
        <f t="shared" si="2"/>
        <v>0</v>
      </c>
    </row>
    <row r="26" spans="1:11">
      <c r="A26" s="1" t="s">
        <v>116</v>
      </c>
      <c r="B26" s="1" t="s">
        <v>117</v>
      </c>
      <c r="C26" s="1" t="s">
        <v>61</v>
      </c>
      <c r="D26" s="1" t="s">
        <v>62</v>
      </c>
      <c r="E26" s="1">
        <v>28000</v>
      </c>
      <c r="F26" s="1">
        <v>2</v>
      </c>
      <c r="G26" s="1">
        <v>1</v>
      </c>
      <c r="H26" s="1" t="s">
        <v>63</v>
      </c>
      <c r="I26" s="1" t="str">
        <f t="shared" si="0"/>
        <v>Low</v>
      </c>
      <c r="J26" t="str">
        <f t="shared" si="1"/>
        <v>Fresher</v>
      </c>
      <c r="K26" s="1">
        <f t="shared" si="2"/>
        <v>1</v>
      </c>
    </row>
    <row r="27" spans="1:11">
      <c r="A27" s="1" t="s">
        <v>118</v>
      </c>
      <c r="B27" s="1" t="s">
        <v>119</v>
      </c>
      <c r="C27" s="1" t="s">
        <v>71</v>
      </c>
      <c r="D27" s="1" t="s">
        <v>67</v>
      </c>
      <c r="E27" s="1">
        <v>57000</v>
      </c>
      <c r="F27" s="1">
        <v>5</v>
      </c>
      <c r="G27" s="1">
        <v>7</v>
      </c>
      <c r="H27" s="1" t="s">
        <v>68</v>
      </c>
      <c r="I27" s="1" t="str">
        <f t="shared" si="0"/>
        <v>High</v>
      </c>
      <c r="J27" t="str">
        <f t="shared" si="1"/>
        <v>Experienced</v>
      </c>
      <c r="K27" s="1">
        <f t="shared" si="2"/>
        <v>0</v>
      </c>
    </row>
    <row r="28" spans="1:11">
      <c r="A28" s="1" t="s">
        <v>120</v>
      </c>
      <c r="B28" s="1" t="s">
        <v>121</v>
      </c>
      <c r="C28" s="1" t="s">
        <v>66</v>
      </c>
      <c r="D28" s="1" t="s">
        <v>72</v>
      </c>
      <c r="E28" s="1">
        <v>33000</v>
      </c>
      <c r="F28" s="1">
        <v>3</v>
      </c>
      <c r="G28" s="1">
        <v>2</v>
      </c>
      <c r="H28" s="1" t="s">
        <v>63</v>
      </c>
      <c r="I28" s="1" t="str">
        <f t="shared" si="0"/>
        <v>Medium</v>
      </c>
      <c r="J28" t="str">
        <f t="shared" si="1"/>
        <v>Fresher</v>
      </c>
      <c r="K28" s="1">
        <f t="shared" si="2"/>
        <v>1</v>
      </c>
    </row>
    <row r="29" spans="1:11">
      <c r="A29" s="1" t="s">
        <v>122</v>
      </c>
      <c r="B29" s="1" t="s">
        <v>123</v>
      </c>
      <c r="C29" s="1" t="s">
        <v>61</v>
      </c>
      <c r="D29" s="1" t="s">
        <v>75</v>
      </c>
      <c r="E29" s="1">
        <v>29500</v>
      </c>
      <c r="F29" s="1">
        <v>2</v>
      </c>
      <c r="G29" s="1">
        <v>1</v>
      </c>
      <c r="H29" s="1" t="s">
        <v>63</v>
      </c>
      <c r="I29" s="1" t="str">
        <f t="shared" si="0"/>
        <v>Low</v>
      </c>
      <c r="J29" t="str">
        <f t="shared" si="1"/>
        <v>Fresher</v>
      </c>
      <c r="K29" s="1">
        <f t="shared" si="2"/>
        <v>1</v>
      </c>
    </row>
    <row r="30" spans="1:11">
      <c r="A30" s="1" t="s">
        <v>124</v>
      </c>
      <c r="B30" s="1" t="s">
        <v>125</v>
      </c>
      <c r="C30" s="1" t="s">
        <v>71</v>
      </c>
      <c r="D30" s="1" t="s">
        <v>62</v>
      </c>
      <c r="E30" s="1">
        <v>53000</v>
      </c>
      <c r="F30" s="1">
        <v>4</v>
      </c>
      <c r="G30" s="1">
        <v>5</v>
      </c>
      <c r="H30" s="1" t="s">
        <v>68</v>
      </c>
      <c r="I30" s="1" t="str">
        <f t="shared" si="0"/>
        <v>High</v>
      </c>
      <c r="J30" t="str">
        <f t="shared" si="1"/>
        <v>Experienced</v>
      </c>
      <c r="K30" s="1">
        <f t="shared" si="2"/>
        <v>0</v>
      </c>
    </row>
    <row r="31" spans="1:11">
      <c r="A31" s="1" t="s">
        <v>126</v>
      </c>
      <c r="B31" s="1" t="s">
        <v>127</v>
      </c>
      <c r="C31" s="1" t="s">
        <v>66</v>
      </c>
      <c r="D31" s="1" t="s">
        <v>67</v>
      </c>
      <c r="E31" s="1">
        <v>35000</v>
      </c>
      <c r="F31" s="1">
        <v>4</v>
      </c>
      <c r="G31" s="1">
        <v>3</v>
      </c>
      <c r="H31" s="1" t="s">
        <v>68</v>
      </c>
      <c r="I31" s="1" t="str">
        <f t="shared" si="0"/>
        <v>Medium</v>
      </c>
      <c r="J31" t="str">
        <f t="shared" si="1"/>
        <v>Experienced</v>
      </c>
      <c r="K31" s="1">
        <f t="shared" si="2"/>
        <v>0</v>
      </c>
    </row>
    <row r="32" spans="1:11">
      <c r="A32" s="1" t="s">
        <v>128</v>
      </c>
      <c r="B32" s="1" t="s">
        <v>129</v>
      </c>
      <c r="C32" s="1" t="s">
        <v>61</v>
      </c>
      <c r="D32" s="1" t="s">
        <v>72</v>
      </c>
      <c r="E32" s="1">
        <v>27000</v>
      </c>
      <c r="F32" s="1">
        <v>1</v>
      </c>
      <c r="G32" s="1">
        <v>1</v>
      </c>
      <c r="H32" s="1" t="s">
        <v>63</v>
      </c>
      <c r="I32" s="1" t="str">
        <f t="shared" si="0"/>
        <v>Low</v>
      </c>
      <c r="J32" t="str">
        <f t="shared" si="1"/>
        <v>Fresher</v>
      </c>
      <c r="K32" s="1">
        <f t="shared" si="2"/>
        <v>1</v>
      </c>
    </row>
    <row r="33" spans="1:11">
      <c r="A33" s="1" t="s">
        <v>130</v>
      </c>
      <c r="B33" s="1" t="s">
        <v>131</v>
      </c>
      <c r="C33" s="1" t="s">
        <v>71</v>
      </c>
      <c r="D33" s="1" t="s">
        <v>75</v>
      </c>
      <c r="E33" s="1">
        <v>61000</v>
      </c>
      <c r="F33" s="1">
        <v>5</v>
      </c>
      <c r="G33" s="1">
        <v>8</v>
      </c>
      <c r="H33" s="1" t="s">
        <v>68</v>
      </c>
      <c r="I33" s="1" t="str">
        <f t="shared" si="0"/>
        <v>High</v>
      </c>
      <c r="J33" t="str">
        <f t="shared" si="1"/>
        <v>Experienced</v>
      </c>
      <c r="K33" s="1">
        <f t="shared" si="2"/>
        <v>0</v>
      </c>
    </row>
    <row r="34" spans="1:11">
      <c r="A34" s="1" t="s">
        <v>132</v>
      </c>
      <c r="B34" s="1" t="s">
        <v>133</v>
      </c>
      <c r="C34" s="1" t="s">
        <v>66</v>
      </c>
      <c r="D34" s="1" t="s">
        <v>62</v>
      </c>
      <c r="E34" s="1">
        <v>32000</v>
      </c>
      <c r="F34" s="1">
        <v>3</v>
      </c>
      <c r="G34" s="1">
        <v>2</v>
      </c>
      <c r="H34" s="1" t="s">
        <v>63</v>
      </c>
      <c r="I34" s="1" t="str">
        <f t="shared" si="0"/>
        <v>Medium</v>
      </c>
      <c r="J34" t="str">
        <f t="shared" si="1"/>
        <v>Fresher</v>
      </c>
      <c r="K34" s="1">
        <f t="shared" si="2"/>
        <v>1</v>
      </c>
    </row>
    <row r="35" spans="1:11">
      <c r="A35" s="1" t="s">
        <v>134</v>
      </c>
      <c r="B35" s="1" t="s">
        <v>135</v>
      </c>
      <c r="C35" s="1" t="s">
        <v>61</v>
      </c>
      <c r="D35" s="1" t="s">
        <v>67</v>
      </c>
      <c r="E35" s="1">
        <v>30000</v>
      </c>
      <c r="F35" s="1">
        <v>2</v>
      </c>
      <c r="G35" s="1">
        <v>2</v>
      </c>
      <c r="H35" s="1" t="s">
        <v>63</v>
      </c>
      <c r="I35" s="1" t="str">
        <f t="shared" si="0"/>
        <v>Medium</v>
      </c>
      <c r="J35" t="str">
        <f t="shared" si="1"/>
        <v>Fresher</v>
      </c>
      <c r="K35" s="1">
        <f t="shared" si="2"/>
        <v>1</v>
      </c>
    </row>
    <row r="36" spans="1:11">
      <c r="A36" s="1" t="s">
        <v>136</v>
      </c>
      <c r="B36" s="1" t="s">
        <v>137</v>
      </c>
      <c r="C36" s="1" t="s">
        <v>71</v>
      </c>
      <c r="D36" s="1" t="s">
        <v>72</v>
      </c>
      <c r="E36" s="1">
        <v>56000</v>
      </c>
      <c r="F36" s="1">
        <v>4</v>
      </c>
      <c r="G36" s="1">
        <v>6</v>
      </c>
      <c r="H36" s="1" t="s">
        <v>68</v>
      </c>
      <c r="I36" s="1" t="str">
        <f t="shared" si="0"/>
        <v>High</v>
      </c>
      <c r="J36" t="str">
        <f t="shared" si="1"/>
        <v>Experienced</v>
      </c>
      <c r="K36" s="1">
        <f t="shared" si="2"/>
        <v>0</v>
      </c>
    </row>
    <row r="37" spans="1:11">
      <c r="A37" s="1" t="s">
        <v>138</v>
      </c>
      <c r="B37" s="1" t="s">
        <v>139</v>
      </c>
      <c r="C37" s="1" t="s">
        <v>66</v>
      </c>
      <c r="D37" s="1" t="s">
        <v>75</v>
      </c>
      <c r="E37" s="1">
        <v>37000</v>
      </c>
      <c r="F37" s="1">
        <v>4</v>
      </c>
      <c r="G37" s="1">
        <v>3</v>
      </c>
      <c r="H37" s="1" t="s">
        <v>68</v>
      </c>
      <c r="I37" s="1" t="str">
        <f t="shared" si="0"/>
        <v>Medium</v>
      </c>
      <c r="J37" t="str">
        <f t="shared" si="1"/>
        <v>Experienced</v>
      </c>
      <c r="K37" s="1">
        <f t="shared" si="2"/>
        <v>0</v>
      </c>
    </row>
    <row r="38" spans="1:11">
      <c r="A38" s="1" t="s">
        <v>140</v>
      </c>
      <c r="B38" s="1" t="s">
        <v>141</v>
      </c>
      <c r="C38" s="1" t="s">
        <v>61</v>
      </c>
      <c r="D38" s="1" t="s">
        <v>62</v>
      </c>
      <c r="E38" s="1">
        <v>26000</v>
      </c>
      <c r="F38" s="1">
        <v>1</v>
      </c>
      <c r="G38" s="1">
        <v>1</v>
      </c>
      <c r="H38" s="1" t="s">
        <v>63</v>
      </c>
      <c r="I38" s="1" t="str">
        <f t="shared" si="0"/>
        <v>Low</v>
      </c>
      <c r="J38" t="str">
        <f t="shared" si="1"/>
        <v>Fresher</v>
      </c>
      <c r="K38" s="1">
        <f t="shared" si="2"/>
        <v>1</v>
      </c>
    </row>
    <row r="39" spans="1:11">
      <c r="A39" s="1" t="s">
        <v>142</v>
      </c>
      <c r="B39" s="1" t="s">
        <v>143</v>
      </c>
      <c r="C39" s="1" t="s">
        <v>71</v>
      </c>
      <c r="D39" s="1" t="s">
        <v>67</v>
      </c>
      <c r="E39" s="1">
        <v>59000</v>
      </c>
      <c r="F39" s="1">
        <v>5</v>
      </c>
      <c r="G39" s="1">
        <v>7</v>
      </c>
      <c r="H39" s="1" t="s">
        <v>68</v>
      </c>
      <c r="I39" s="1" t="str">
        <f t="shared" si="0"/>
        <v>High</v>
      </c>
      <c r="J39" t="str">
        <f t="shared" si="1"/>
        <v>Experienced</v>
      </c>
      <c r="K39" s="1">
        <f t="shared" si="2"/>
        <v>0</v>
      </c>
    </row>
    <row r="40" spans="1:11">
      <c r="A40" s="1" t="s">
        <v>144</v>
      </c>
      <c r="B40" s="1" t="s">
        <v>145</v>
      </c>
      <c r="C40" s="1" t="s">
        <v>66</v>
      </c>
      <c r="D40" s="1" t="s">
        <v>72</v>
      </c>
      <c r="E40" s="1">
        <v>34000</v>
      </c>
      <c r="F40" s="1">
        <v>3</v>
      </c>
      <c r="G40" s="1">
        <v>2</v>
      </c>
      <c r="H40" s="1" t="s">
        <v>63</v>
      </c>
      <c r="I40" s="1" t="str">
        <f t="shared" si="0"/>
        <v>Medium</v>
      </c>
      <c r="J40" t="str">
        <f t="shared" si="1"/>
        <v>Fresher</v>
      </c>
      <c r="K40" s="1">
        <f t="shared" si="2"/>
        <v>1</v>
      </c>
    </row>
    <row r="41" spans="1:11">
      <c r="A41" s="1" t="s">
        <v>146</v>
      </c>
      <c r="B41" s="1" t="s">
        <v>147</v>
      </c>
      <c r="C41" s="1" t="s">
        <v>61</v>
      </c>
      <c r="D41" s="1" t="s">
        <v>75</v>
      </c>
      <c r="E41" s="1">
        <v>31000</v>
      </c>
      <c r="F41" s="1">
        <v>2</v>
      </c>
      <c r="G41" s="1">
        <v>2</v>
      </c>
      <c r="H41" s="1" t="s">
        <v>63</v>
      </c>
      <c r="I41" s="1" t="str">
        <f t="shared" si="0"/>
        <v>Medium</v>
      </c>
      <c r="J41" t="str">
        <f t="shared" si="1"/>
        <v>Fresher</v>
      </c>
      <c r="K41" s="1">
        <f t="shared" si="2"/>
        <v>1</v>
      </c>
    </row>
    <row r="42" spans="1:11">
      <c r="A42" s="1" t="s">
        <v>148</v>
      </c>
      <c r="B42" s="1" t="s">
        <v>149</v>
      </c>
      <c r="C42" s="1" t="s">
        <v>71</v>
      </c>
      <c r="D42" s="1" t="s">
        <v>62</v>
      </c>
      <c r="E42" s="1">
        <v>52000</v>
      </c>
      <c r="F42" s="1">
        <v>4</v>
      </c>
      <c r="G42" s="1">
        <v>5</v>
      </c>
      <c r="H42" s="1" t="s">
        <v>68</v>
      </c>
      <c r="I42" s="1" t="str">
        <f t="shared" si="0"/>
        <v>High</v>
      </c>
      <c r="J42" t="str">
        <f t="shared" si="1"/>
        <v>Experienced</v>
      </c>
      <c r="K42" s="1">
        <f t="shared" si="2"/>
        <v>0</v>
      </c>
    </row>
    <row r="43" spans="1:11">
      <c r="A43" s="1" t="s">
        <v>150</v>
      </c>
      <c r="B43" s="1" t="s">
        <v>151</v>
      </c>
      <c r="C43" s="1" t="s">
        <v>66</v>
      </c>
      <c r="D43" s="1" t="s">
        <v>67</v>
      </c>
      <c r="E43" s="1">
        <v>36000</v>
      </c>
      <c r="F43" s="1">
        <v>4</v>
      </c>
      <c r="G43" s="1">
        <v>3</v>
      </c>
      <c r="H43" s="1" t="s">
        <v>68</v>
      </c>
      <c r="I43" s="1" t="str">
        <f t="shared" si="0"/>
        <v>Medium</v>
      </c>
      <c r="J43" t="str">
        <f t="shared" si="1"/>
        <v>Experienced</v>
      </c>
      <c r="K43" s="1">
        <f t="shared" si="2"/>
        <v>0</v>
      </c>
    </row>
    <row r="44" spans="1:11">
      <c r="A44" s="1" t="s">
        <v>152</v>
      </c>
      <c r="B44" s="1" t="s">
        <v>153</v>
      </c>
      <c r="C44" s="1" t="s">
        <v>61</v>
      </c>
      <c r="D44" s="1" t="s">
        <v>72</v>
      </c>
      <c r="E44" s="1">
        <v>28000</v>
      </c>
      <c r="F44" s="1">
        <v>2</v>
      </c>
      <c r="G44" s="1">
        <v>1</v>
      </c>
      <c r="H44" s="1" t="s">
        <v>63</v>
      </c>
      <c r="I44" s="1" t="str">
        <f t="shared" si="0"/>
        <v>Low</v>
      </c>
      <c r="J44" t="str">
        <f t="shared" si="1"/>
        <v>Fresher</v>
      </c>
      <c r="K44" s="1">
        <f t="shared" si="2"/>
        <v>1</v>
      </c>
    </row>
    <row r="45" spans="1:11">
      <c r="A45" s="1" t="s">
        <v>154</v>
      </c>
      <c r="B45" s="1" t="s">
        <v>155</v>
      </c>
      <c r="C45" s="1" t="s">
        <v>71</v>
      </c>
      <c r="D45" s="1" t="s">
        <v>75</v>
      </c>
      <c r="E45" s="1">
        <v>60000</v>
      </c>
      <c r="F45" s="1">
        <v>5</v>
      </c>
      <c r="G45" s="1">
        <v>8</v>
      </c>
      <c r="H45" s="1" t="s">
        <v>68</v>
      </c>
      <c r="I45" s="1" t="str">
        <f t="shared" si="0"/>
        <v>High</v>
      </c>
      <c r="J45" t="str">
        <f t="shared" si="1"/>
        <v>Experienced</v>
      </c>
      <c r="K45" s="1">
        <f t="shared" si="2"/>
        <v>0</v>
      </c>
    </row>
    <row r="46" spans="1:11">
      <c r="A46" s="1" t="s">
        <v>156</v>
      </c>
      <c r="B46" s="1" t="s">
        <v>157</v>
      </c>
      <c r="C46" s="1" t="s">
        <v>66</v>
      </c>
      <c r="D46" s="1" t="s">
        <v>62</v>
      </c>
      <c r="E46" s="1">
        <v>33000</v>
      </c>
      <c r="F46" s="1">
        <v>3</v>
      </c>
      <c r="G46" s="1">
        <v>2</v>
      </c>
      <c r="H46" s="1" t="s">
        <v>63</v>
      </c>
      <c r="I46" s="1" t="str">
        <f t="shared" si="0"/>
        <v>Medium</v>
      </c>
      <c r="J46" t="str">
        <f t="shared" si="1"/>
        <v>Fresher</v>
      </c>
      <c r="K46" s="1">
        <f t="shared" si="2"/>
        <v>1</v>
      </c>
    </row>
    <row r="47" spans="1:11">
      <c r="A47" s="1" t="s">
        <v>158</v>
      </c>
      <c r="B47" s="1" t="s">
        <v>159</v>
      </c>
      <c r="C47" s="1" t="s">
        <v>61</v>
      </c>
      <c r="D47" s="1" t="s">
        <v>67</v>
      </c>
      <c r="E47" s="1">
        <v>29500</v>
      </c>
      <c r="F47" s="1">
        <v>2</v>
      </c>
      <c r="G47" s="1">
        <v>1</v>
      </c>
      <c r="H47" s="1" t="s">
        <v>63</v>
      </c>
      <c r="I47" s="1" t="str">
        <f t="shared" si="0"/>
        <v>Low</v>
      </c>
      <c r="J47" t="str">
        <f t="shared" si="1"/>
        <v>Fresher</v>
      </c>
      <c r="K47" s="1">
        <f t="shared" si="2"/>
        <v>1</v>
      </c>
    </row>
    <row r="48" spans="1:11">
      <c r="A48" s="1" t="s">
        <v>160</v>
      </c>
      <c r="B48" s="1" t="s">
        <v>161</v>
      </c>
      <c r="C48" s="1" t="s">
        <v>71</v>
      </c>
      <c r="D48" s="1" t="s">
        <v>72</v>
      </c>
      <c r="E48" s="1">
        <v>55000</v>
      </c>
      <c r="F48" s="1">
        <v>4</v>
      </c>
      <c r="G48" s="1">
        <v>6</v>
      </c>
      <c r="H48" s="1" t="s">
        <v>68</v>
      </c>
      <c r="I48" s="1" t="str">
        <f t="shared" si="0"/>
        <v>High</v>
      </c>
      <c r="J48" t="str">
        <f t="shared" si="1"/>
        <v>Experienced</v>
      </c>
      <c r="K48" s="1">
        <f t="shared" si="2"/>
        <v>0</v>
      </c>
    </row>
    <row r="49" spans="1:11">
      <c r="A49" s="1" t="s">
        <v>162</v>
      </c>
      <c r="B49" s="1" t="s">
        <v>163</v>
      </c>
      <c r="C49" s="1" t="s">
        <v>66</v>
      </c>
      <c r="D49" s="1" t="s">
        <v>75</v>
      </c>
      <c r="E49" s="1">
        <v>37000</v>
      </c>
      <c r="F49" s="1">
        <v>4</v>
      </c>
      <c r="G49" s="1">
        <v>3</v>
      </c>
      <c r="H49" s="1" t="s">
        <v>68</v>
      </c>
      <c r="I49" s="1" t="str">
        <f t="shared" si="0"/>
        <v>Medium</v>
      </c>
      <c r="J49" t="str">
        <f t="shared" si="1"/>
        <v>Experienced</v>
      </c>
      <c r="K49" s="1">
        <f t="shared" si="2"/>
        <v>0</v>
      </c>
    </row>
    <row r="50" spans="1:11">
      <c r="A50" s="1" t="s">
        <v>164</v>
      </c>
      <c r="B50" s="1" t="s">
        <v>165</v>
      </c>
      <c r="C50" s="1" t="s">
        <v>61</v>
      </c>
      <c r="D50" s="1" t="s">
        <v>62</v>
      </c>
      <c r="E50" s="1">
        <v>27000</v>
      </c>
      <c r="F50" s="1">
        <v>1</v>
      </c>
      <c r="G50" s="1">
        <v>1</v>
      </c>
      <c r="H50" s="1" t="s">
        <v>63</v>
      </c>
      <c r="I50" s="1" t="str">
        <f t="shared" si="0"/>
        <v>Low</v>
      </c>
      <c r="J50" t="str">
        <f t="shared" si="1"/>
        <v>Fresher</v>
      </c>
      <c r="K50" s="1">
        <f t="shared" si="2"/>
        <v>1</v>
      </c>
    </row>
    <row r="51" spans="1:11">
      <c r="A51" s="1" t="s">
        <v>166</v>
      </c>
      <c r="B51" s="1" t="s">
        <v>167</v>
      </c>
      <c r="C51" s="1" t="s">
        <v>71</v>
      </c>
      <c r="D51" s="1" t="s">
        <v>67</v>
      </c>
      <c r="E51" s="1">
        <v>58000</v>
      </c>
      <c r="F51" s="1">
        <v>5</v>
      </c>
      <c r="G51" s="1">
        <v>7</v>
      </c>
      <c r="H51" s="1" t="s">
        <v>68</v>
      </c>
      <c r="I51" s="1" t="str">
        <f t="shared" si="0"/>
        <v>High</v>
      </c>
      <c r="J51" t="str">
        <f t="shared" si="1"/>
        <v>Experienced</v>
      </c>
      <c r="K51" s="1">
        <f t="shared" si="2"/>
        <v>0</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43CF-CBC8-41EF-99BF-63CBCEE8518E}">
  <dimension ref="A1:M51"/>
  <sheetViews>
    <sheetView topLeftCell="A35" workbookViewId="0">
      <selection activeCell="B54" sqref="B54:E55"/>
    </sheetView>
  </sheetViews>
  <sheetFormatPr defaultRowHeight="14.4"/>
  <cols>
    <col min="1" max="1" width="11" bestFit="1" customWidth="1"/>
    <col min="2" max="2" width="15.77734375" bestFit="1" customWidth="1"/>
    <col min="3" max="3" width="15.5546875" bestFit="1" customWidth="1"/>
    <col min="4" max="4" width="14.77734375" bestFit="1" customWidth="1"/>
    <col min="5" max="5" width="15.33203125" bestFit="1" customWidth="1"/>
    <col min="6" max="6" width="16.33203125" bestFit="1" customWidth="1"/>
    <col min="7" max="7" width="14.5546875" bestFit="1" customWidth="1"/>
    <col min="8" max="8" width="12.44140625" bestFit="1" customWidth="1"/>
    <col min="9" max="9" width="15.33203125" bestFit="1" customWidth="1"/>
    <col min="10" max="10" width="19.44140625" bestFit="1" customWidth="1"/>
    <col min="11" max="11" width="16.21875" bestFit="1" customWidth="1"/>
  </cols>
  <sheetData>
    <row r="1" spans="1:11">
      <c r="A1" s="1" t="s">
        <v>51</v>
      </c>
      <c r="B1" s="1" t="s">
        <v>52</v>
      </c>
      <c r="C1" s="1" t="s">
        <v>53</v>
      </c>
      <c r="D1" s="1" t="s">
        <v>54</v>
      </c>
      <c r="E1" s="1" t="s">
        <v>55</v>
      </c>
      <c r="F1" s="1" t="s">
        <v>56</v>
      </c>
      <c r="G1" s="1" t="s">
        <v>57</v>
      </c>
      <c r="H1" s="1" t="s">
        <v>58</v>
      </c>
      <c r="I1" s="1" t="s">
        <v>168</v>
      </c>
      <c r="J1" s="1" t="s">
        <v>171</v>
      </c>
      <c r="K1" s="1" t="s">
        <v>172</v>
      </c>
    </row>
    <row r="2" spans="1:11">
      <c r="A2" s="1" t="s">
        <v>59</v>
      </c>
      <c r="B2" s="1" t="s">
        <v>60</v>
      </c>
      <c r="C2" s="1" t="s">
        <v>61</v>
      </c>
      <c r="D2" s="1" t="s">
        <v>62</v>
      </c>
      <c r="E2" s="1">
        <v>30000</v>
      </c>
      <c r="F2" s="1">
        <v>3</v>
      </c>
      <c r="G2" s="1">
        <v>2</v>
      </c>
      <c r="H2" s="1" t="s">
        <v>63</v>
      </c>
      <c r="I2" s="1" t="str">
        <f>IF(E2&lt;30000,"Low",IF(E2&lt;50000,"Medium","High"))</f>
        <v>Medium</v>
      </c>
      <c r="J2" t="str">
        <f>IF(G2&lt;=2,"Fresher","Experienced")</f>
        <v>Fresher</v>
      </c>
      <c r="K2" s="1">
        <f>IF(H2="Yes",1,0)</f>
        <v>1</v>
      </c>
    </row>
    <row r="3" spans="1:11">
      <c r="A3" s="1" t="s">
        <v>64</v>
      </c>
      <c r="B3" s="1" t="s">
        <v>65</v>
      </c>
      <c r="C3" s="1" t="s">
        <v>66</v>
      </c>
      <c r="D3" s="1" t="s">
        <v>67</v>
      </c>
      <c r="E3" s="1">
        <v>35000</v>
      </c>
      <c r="F3" s="1">
        <v>4</v>
      </c>
      <c r="G3" s="1">
        <v>3</v>
      </c>
      <c r="H3" s="1" t="s">
        <v>68</v>
      </c>
      <c r="I3" s="1" t="str">
        <f t="shared" ref="I3:I51" si="0">IF(E3&lt;30000,"Low",IF(E3&lt;50000,"Medium","High"))</f>
        <v>Medium</v>
      </c>
      <c r="J3" t="str">
        <f t="shared" ref="J3:J51" si="1">IF(G3&lt;=2,"Fresher","Experienced")</f>
        <v>Experienced</v>
      </c>
      <c r="K3" s="1">
        <f t="shared" ref="K3:K51" si="2">IF(H3="Yes",1,0)</f>
        <v>0</v>
      </c>
    </row>
    <row r="4" spans="1:11">
      <c r="A4" s="1" t="s">
        <v>69</v>
      </c>
      <c r="B4" s="1" t="s">
        <v>70</v>
      </c>
      <c r="C4" s="1" t="s">
        <v>71</v>
      </c>
      <c r="D4" s="1" t="s">
        <v>72</v>
      </c>
      <c r="E4" s="1">
        <v>50000</v>
      </c>
      <c r="F4" s="1">
        <v>5</v>
      </c>
      <c r="G4" s="1">
        <v>5</v>
      </c>
      <c r="H4" s="1" t="s">
        <v>68</v>
      </c>
      <c r="I4" s="1" t="str">
        <f t="shared" si="0"/>
        <v>High</v>
      </c>
      <c r="J4" t="str">
        <f t="shared" si="1"/>
        <v>Experienced</v>
      </c>
      <c r="K4" s="1">
        <f t="shared" si="2"/>
        <v>0</v>
      </c>
    </row>
    <row r="5" spans="1:11">
      <c r="A5" s="1" t="s">
        <v>73</v>
      </c>
      <c r="B5" s="1" t="s">
        <v>74</v>
      </c>
      <c r="C5" s="1" t="s">
        <v>61</v>
      </c>
      <c r="D5" s="1" t="s">
        <v>75</v>
      </c>
      <c r="E5" s="1">
        <v>28000</v>
      </c>
      <c r="F5" s="1">
        <v>2</v>
      </c>
      <c r="G5" s="1">
        <v>1</v>
      </c>
      <c r="H5" s="1" t="s">
        <v>63</v>
      </c>
      <c r="I5" s="1" t="str">
        <f t="shared" si="0"/>
        <v>Low</v>
      </c>
      <c r="J5" t="str">
        <f t="shared" si="1"/>
        <v>Fresher</v>
      </c>
      <c r="K5" s="1">
        <f t="shared" si="2"/>
        <v>1</v>
      </c>
    </row>
    <row r="6" spans="1:11">
      <c r="A6" s="1" t="s">
        <v>76</v>
      </c>
      <c r="B6" s="1" t="s">
        <v>77</v>
      </c>
      <c r="C6" s="1" t="s">
        <v>71</v>
      </c>
      <c r="D6" s="1" t="s">
        <v>62</v>
      </c>
      <c r="E6" s="1">
        <v>52000</v>
      </c>
      <c r="F6" s="1">
        <v>4</v>
      </c>
      <c r="G6" s="1">
        <v>6</v>
      </c>
      <c r="H6" s="1" t="s">
        <v>68</v>
      </c>
      <c r="I6" s="1" t="str">
        <f t="shared" si="0"/>
        <v>High</v>
      </c>
      <c r="J6" t="str">
        <f t="shared" si="1"/>
        <v>Experienced</v>
      </c>
      <c r="K6" s="1">
        <f t="shared" si="2"/>
        <v>0</v>
      </c>
    </row>
    <row r="7" spans="1:11">
      <c r="A7" s="1" t="s">
        <v>78</v>
      </c>
      <c r="B7" s="1" t="s">
        <v>79</v>
      </c>
      <c r="C7" s="1" t="s">
        <v>66</v>
      </c>
      <c r="D7" s="1" t="s">
        <v>67</v>
      </c>
      <c r="E7" s="1">
        <v>34000</v>
      </c>
      <c r="F7" s="1">
        <v>3</v>
      </c>
      <c r="G7" s="1">
        <v>2</v>
      </c>
      <c r="H7" s="1" t="s">
        <v>63</v>
      </c>
      <c r="I7" s="1" t="str">
        <f t="shared" si="0"/>
        <v>Medium</v>
      </c>
      <c r="J7" t="str">
        <f t="shared" si="1"/>
        <v>Fresher</v>
      </c>
      <c r="K7" s="1">
        <f t="shared" si="2"/>
        <v>1</v>
      </c>
    </row>
    <row r="8" spans="1:11">
      <c r="A8" s="1" t="s">
        <v>80</v>
      </c>
      <c r="B8" s="1" t="s">
        <v>81</v>
      </c>
      <c r="C8" s="1" t="s">
        <v>61</v>
      </c>
      <c r="D8" s="1" t="s">
        <v>72</v>
      </c>
      <c r="E8" s="1">
        <v>31000</v>
      </c>
      <c r="F8" s="1">
        <v>2</v>
      </c>
      <c r="G8" s="1">
        <v>2</v>
      </c>
      <c r="H8" s="1" t="s">
        <v>63</v>
      </c>
      <c r="I8" s="1" t="str">
        <f t="shared" si="0"/>
        <v>Medium</v>
      </c>
      <c r="J8" t="str">
        <f t="shared" si="1"/>
        <v>Fresher</v>
      </c>
      <c r="K8" s="1">
        <f t="shared" si="2"/>
        <v>1</v>
      </c>
    </row>
    <row r="9" spans="1:11">
      <c r="A9" s="1" t="s">
        <v>82</v>
      </c>
      <c r="B9" s="1" t="s">
        <v>83</v>
      </c>
      <c r="C9" s="1" t="s">
        <v>71</v>
      </c>
      <c r="D9" s="1" t="s">
        <v>75</v>
      </c>
      <c r="E9" s="1">
        <v>60000</v>
      </c>
      <c r="F9" s="1">
        <v>5</v>
      </c>
      <c r="G9" s="1">
        <v>7</v>
      </c>
      <c r="H9" s="1" t="s">
        <v>68</v>
      </c>
      <c r="I9" s="1" t="str">
        <f t="shared" si="0"/>
        <v>High</v>
      </c>
      <c r="J9" t="str">
        <f t="shared" si="1"/>
        <v>Experienced</v>
      </c>
      <c r="K9" s="1">
        <f t="shared" si="2"/>
        <v>0</v>
      </c>
    </row>
    <row r="10" spans="1:11">
      <c r="A10" s="1" t="s">
        <v>84</v>
      </c>
      <c r="B10" s="1" t="s">
        <v>85</v>
      </c>
      <c r="C10" s="1" t="s">
        <v>66</v>
      </c>
      <c r="D10" s="1" t="s">
        <v>62</v>
      </c>
      <c r="E10" s="1">
        <v>33000</v>
      </c>
      <c r="F10" s="1">
        <v>3</v>
      </c>
      <c r="G10" s="1">
        <v>3</v>
      </c>
      <c r="H10" s="1" t="s">
        <v>68</v>
      </c>
      <c r="I10" s="1" t="str">
        <f t="shared" si="0"/>
        <v>Medium</v>
      </c>
      <c r="J10" t="str">
        <f t="shared" si="1"/>
        <v>Experienced</v>
      </c>
      <c r="K10" s="1">
        <f t="shared" si="2"/>
        <v>0</v>
      </c>
    </row>
    <row r="11" spans="1:11">
      <c r="A11" s="1" t="s">
        <v>86</v>
      </c>
      <c r="B11" s="1" t="s">
        <v>87</v>
      </c>
      <c r="C11" s="1" t="s">
        <v>61</v>
      </c>
      <c r="D11" s="1" t="s">
        <v>67</v>
      </c>
      <c r="E11" s="1">
        <v>29000</v>
      </c>
      <c r="F11" s="1">
        <v>2</v>
      </c>
      <c r="G11" s="1">
        <v>1</v>
      </c>
      <c r="H11" s="1" t="s">
        <v>63</v>
      </c>
      <c r="I11" s="1" t="str">
        <f t="shared" si="0"/>
        <v>Low</v>
      </c>
      <c r="J11" t="str">
        <f t="shared" si="1"/>
        <v>Fresher</v>
      </c>
      <c r="K11" s="1">
        <f t="shared" si="2"/>
        <v>1</v>
      </c>
    </row>
    <row r="12" spans="1:11">
      <c r="A12" s="1" t="s">
        <v>88</v>
      </c>
      <c r="B12" s="1" t="s">
        <v>89</v>
      </c>
      <c r="C12" s="1" t="s">
        <v>71</v>
      </c>
      <c r="D12" s="1" t="s">
        <v>72</v>
      </c>
      <c r="E12" s="1">
        <v>55000</v>
      </c>
      <c r="F12" s="1">
        <v>4</v>
      </c>
      <c r="G12" s="1">
        <v>5</v>
      </c>
      <c r="H12" s="1" t="s">
        <v>68</v>
      </c>
      <c r="I12" s="1" t="str">
        <f t="shared" si="0"/>
        <v>High</v>
      </c>
      <c r="J12" t="str">
        <f t="shared" si="1"/>
        <v>Experienced</v>
      </c>
      <c r="K12" s="1">
        <f t="shared" si="2"/>
        <v>0</v>
      </c>
    </row>
    <row r="13" spans="1:11">
      <c r="A13" s="1" t="s">
        <v>90</v>
      </c>
      <c r="B13" s="1" t="s">
        <v>91</v>
      </c>
      <c r="C13" s="1" t="s">
        <v>66</v>
      </c>
      <c r="D13" s="1" t="s">
        <v>75</v>
      </c>
      <c r="E13" s="1">
        <v>36000</v>
      </c>
      <c r="F13" s="1">
        <v>4</v>
      </c>
      <c r="G13" s="1">
        <v>4</v>
      </c>
      <c r="H13" s="1" t="s">
        <v>68</v>
      </c>
      <c r="I13" s="1" t="str">
        <f t="shared" si="0"/>
        <v>Medium</v>
      </c>
      <c r="J13" t="str">
        <f t="shared" si="1"/>
        <v>Experienced</v>
      </c>
      <c r="K13" s="1">
        <f t="shared" si="2"/>
        <v>0</v>
      </c>
    </row>
    <row r="14" spans="1:11">
      <c r="A14" s="1" t="s">
        <v>92</v>
      </c>
      <c r="B14" s="1" t="s">
        <v>93</v>
      </c>
      <c r="C14" s="1" t="s">
        <v>61</v>
      </c>
      <c r="D14" s="1" t="s">
        <v>62</v>
      </c>
      <c r="E14" s="1">
        <v>27000</v>
      </c>
      <c r="F14" s="1">
        <v>1</v>
      </c>
      <c r="G14" s="1">
        <v>1</v>
      </c>
      <c r="H14" s="1" t="s">
        <v>63</v>
      </c>
      <c r="I14" s="1" t="str">
        <f t="shared" si="0"/>
        <v>Low</v>
      </c>
      <c r="J14" t="str">
        <f t="shared" si="1"/>
        <v>Fresher</v>
      </c>
      <c r="K14" s="1">
        <f t="shared" si="2"/>
        <v>1</v>
      </c>
    </row>
    <row r="15" spans="1:11">
      <c r="A15" s="1" t="s">
        <v>94</v>
      </c>
      <c r="B15" s="1" t="s">
        <v>95</v>
      </c>
      <c r="C15" s="1" t="s">
        <v>71</v>
      </c>
      <c r="D15" s="1" t="s">
        <v>67</v>
      </c>
      <c r="E15" s="1">
        <v>58000</v>
      </c>
      <c r="F15" s="1">
        <v>5</v>
      </c>
      <c r="G15" s="1">
        <v>6</v>
      </c>
      <c r="H15" s="1" t="s">
        <v>68</v>
      </c>
      <c r="I15" s="1" t="str">
        <f t="shared" si="0"/>
        <v>High</v>
      </c>
      <c r="J15" t="str">
        <f t="shared" si="1"/>
        <v>Experienced</v>
      </c>
      <c r="K15" s="1">
        <f t="shared" si="2"/>
        <v>0</v>
      </c>
    </row>
    <row r="16" spans="1:11">
      <c r="A16" s="1" t="s">
        <v>96</v>
      </c>
      <c r="B16" s="1" t="s">
        <v>97</v>
      </c>
      <c r="C16" s="1" t="s">
        <v>66</v>
      </c>
      <c r="D16" s="1" t="s">
        <v>72</v>
      </c>
      <c r="E16" s="1">
        <v>32000</v>
      </c>
      <c r="F16" s="1">
        <v>3</v>
      </c>
      <c r="G16" s="1">
        <v>2</v>
      </c>
      <c r="H16" s="1" t="s">
        <v>63</v>
      </c>
      <c r="I16" s="1" t="str">
        <f t="shared" si="0"/>
        <v>Medium</v>
      </c>
      <c r="J16" t="str">
        <f t="shared" si="1"/>
        <v>Fresher</v>
      </c>
      <c r="K16" s="1">
        <f t="shared" si="2"/>
        <v>1</v>
      </c>
    </row>
    <row r="17" spans="1:11">
      <c r="A17" s="1" t="s">
        <v>98</v>
      </c>
      <c r="B17" s="1" t="s">
        <v>99</v>
      </c>
      <c r="C17" s="1" t="s">
        <v>61</v>
      </c>
      <c r="D17" s="1" t="s">
        <v>75</v>
      </c>
      <c r="E17" s="1">
        <v>30000</v>
      </c>
      <c r="F17" s="1">
        <v>2</v>
      </c>
      <c r="G17" s="1">
        <v>2</v>
      </c>
      <c r="H17" s="1" t="s">
        <v>63</v>
      </c>
      <c r="I17" s="1" t="str">
        <f t="shared" si="0"/>
        <v>Medium</v>
      </c>
      <c r="J17" t="str">
        <f t="shared" si="1"/>
        <v>Fresher</v>
      </c>
      <c r="K17" s="1">
        <f t="shared" si="2"/>
        <v>1</v>
      </c>
    </row>
    <row r="18" spans="1:11">
      <c r="A18" s="1" t="s">
        <v>100</v>
      </c>
      <c r="B18" s="1" t="s">
        <v>101</v>
      </c>
      <c r="C18" s="1" t="s">
        <v>71</v>
      </c>
      <c r="D18" s="1" t="s">
        <v>62</v>
      </c>
      <c r="E18" s="1">
        <v>51000</v>
      </c>
      <c r="F18" s="1">
        <v>4</v>
      </c>
      <c r="G18" s="1">
        <v>5</v>
      </c>
      <c r="H18" s="1" t="s">
        <v>68</v>
      </c>
      <c r="I18" s="1" t="str">
        <f t="shared" si="0"/>
        <v>High</v>
      </c>
      <c r="J18" t="str">
        <f t="shared" si="1"/>
        <v>Experienced</v>
      </c>
      <c r="K18" s="1">
        <f t="shared" si="2"/>
        <v>0</v>
      </c>
    </row>
    <row r="19" spans="1:11">
      <c r="A19" s="1" t="s">
        <v>102</v>
      </c>
      <c r="B19" s="1" t="s">
        <v>103</v>
      </c>
      <c r="C19" s="1" t="s">
        <v>66</v>
      </c>
      <c r="D19" s="1" t="s">
        <v>67</v>
      </c>
      <c r="E19" s="1">
        <v>37000</v>
      </c>
      <c r="F19" s="1">
        <v>4</v>
      </c>
      <c r="G19" s="1">
        <v>3</v>
      </c>
      <c r="H19" s="1" t="s">
        <v>68</v>
      </c>
      <c r="I19" s="1" t="str">
        <f t="shared" si="0"/>
        <v>Medium</v>
      </c>
      <c r="J19" t="str">
        <f t="shared" si="1"/>
        <v>Experienced</v>
      </c>
      <c r="K19" s="1">
        <f t="shared" si="2"/>
        <v>0</v>
      </c>
    </row>
    <row r="20" spans="1:11">
      <c r="A20" s="1" t="s">
        <v>104</v>
      </c>
      <c r="B20" s="1" t="s">
        <v>105</v>
      </c>
      <c r="C20" s="1" t="s">
        <v>61</v>
      </c>
      <c r="D20" s="1" t="s">
        <v>72</v>
      </c>
      <c r="E20" s="1">
        <v>26000</v>
      </c>
      <c r="F20" s="1">
        <v>1</v>
      </c>
      <c r="G20" s="1">
        <v>1</v>
      </c>
      <c r="H20" s="1" t="s">
        <v>63</v>
      </c>
      <c r="I20" s="1" t="str">
        <f t="shared" si="0"/>
        <v>Low</v>
      </c>
      <c r="J20" t="str">
        <f t="shared" si="1"/>
        <v>Fresher</v>
      </c>
      <c r="K20" s="1">
        <f t="shared" si="2"/>
        <v>1</v>
      </c>
    </row>
    <row r="21" spans="1:11">
      <c r="A21" s="1" t="s">
        <v>106</v>
      </c>
      <c r="B21" s="1" t="s">
        <v>107</v>
      </c>
      <c r="C21" s="1" t="s">
        <v>71</v>
      </c>
      <c r="D21" s="1" t="s">
        <v>75</v>
      </c>
      <c r="E21" s="1">
        <v>62000</v>
      </c>
      <c r="F21" s="1">
        <v>5</v>
      </c>
      <c r="G21" s="1">
        <v>8</v>
      </c>
      <c r="H21" s="1" t="s">
        <v>68</v>
      </c>
      <c r="I21" s="1" t="str">
        <f t="shared" si="0"/>
        <v>High</v>
      </c>
      <c r="J21" t="str">
        <f t="shared" si="1"/>
        <v>Experienced</v>
      </c>
      <c r="K21" s="1">
        <f t="shared" si="2"/>
        <v>0</v>
      </c>
    </row>
    <row r="22" spans="1:11">
      <c r="A22" s="1" t="s">
        <v>108</v>
      </c>
      <c r="B22" s="1" t="s">
        <v>109</v>
      </c>
      <c r="C22" s="1" t="s">
        <v>66</v>
      </c>
      <c r="D22" s="1" t="s">
        <v>62</v>
      </c>
      <c r="E22" s="1">
        <v>34000</v>
      </c>
      <c r="F22" s="1">
        <v>3</v>
      </c>
      <c r="G22" s="1">
        <v>2</v>
      </c>
      <c r="H22" s="1" t="s">
        <v>63</v>
      </c>
      <c r="I22" s="1" t="str">
        <f t="shared" si="0"/>
        <v>Medium</v>
      </c>
      <c r="J22" t="str">
        <f t="shared" si="1"/>
        <v>Fresher</v>
      </c>
      <c r="K22" s="1">
        <f t="shared" si="2"/>
        <v>1</v>
      </c>
    </row>
    <row r="23" spans="1:11">
      <c r="A23" s="1" t="s">
        <v>110</v>
      </c>
      <c r="B23" s="1" t="s">
        <v>111</v>
      </c>
      <c r="C23" s="1" t="s">
        <v>61</v>
      </c>
      <c r="D23" s="1" t="s">
        <v>67</v>
      </c>
      <c r="E23" s="1">
        <v>31000</v>
      </c>
      <c r="F23" s="1">
        <v>2</v>
      </c>
      <c r="G23" s="1">
        <v>2</v>
      </c>
      <c r="H23" s="1" t="s">
        <v>63</v>
      </c>
      <c r="I23" s="1" t="str">
        <f t="shared" si="0"/>
        <v>Medium</v>
      </c>
      <c r="J23" t="str">
        <f t="shared" si="1"/>
        <v>Fresher</v>
      </c>
      <c r="K23" s="1">
        <f t="shared" si="2"/>
        <v>1</v>
      </c>
    </row>
    <row r="24" spans="1:11">
      <c r="A24" s="1" t="s">
        <v>112</v>
      </c>
      <c r="B24" s="1" t="s">
        <v>113</v>
      </c>
      <c r="C24" s="1" t="s">
        <v>71</v>
      </c>
      <c r="D24" s="1" t="s">
        <v>72</v>
      </c>
      <c r="E24" s="1">
        <v>54000</v>
      </c>
      <c r="F24" s="1">
        <v>4</v>
      </c>
      <c r="G24" s="1">
        <v>6</v>
      </c>
      <c r="H24" s="1" t="s">
        <v>68</v>
      </c>
      <c r="I24" s="1" t="str">
        <f t="shared" si="0"/>
        <v>High</v>
      </c>
      <c r="J24" t="str">
        <f t="shared" si="1"/>
        <v>Experienced</v>
      </c>
      <c r="K24" s="1">
        <f t="shared" si="2"/>
        <v>0</v>
      </c>
    </row>
    <row r="25" spans="1:11">
      <c r="A25" s="1" t="s">
        <v>114</v>
      </c>
      <c r="B25" s="1" t="s">
        <v>115</v>
      </c>
      <c r="C25" s="1" t="s">
        <v>66</v>
      </c>
      <c r="D25" s="1" t="s">
        <v>75</v>
      </c>
      <c r="E25" s="1">
        <v>36000</v>
      </c>
      <c r="F25" s="1">
        <v>3</v>
      </c>
      <c r="G25" s="1">
        <v>3</v>
      </c>
      <c r="H25" s="1" t="s">
        <v>68</v>
      </c>
      <c r="I25" s="1" t="str">
        <f t="shared" si="0"/>
        <v>Medium</v>
      </c>
      <c r="J25" t="str">
        <f t="shared" si="1"/>
        <v>Experienced</v>
      </c>
      <c r="K25" s="1">
        <f t="shared" si="2"/>
        <v>0</v>
      </c>
    </row>
    <row r="26" spans="1:11">
      <c r="A26" s="1" t="s">
        <v>116</v>
      </c>
      <c r="B26" s="1" t="s">
        <v>117</v>
      </c>
      <c r="C26" s="1" t="s">
        <v>61</v>
      </c>
      <c r="D26" s="1" t="s">
        <v>62</v>
      </c>
      <c r="E26" s="1">
        <v>28000</v>
      </c>
      <c r="F26" s="1">
        <v>2</v>
      </c>
      <c r="G26" s="1">
        <v>1</v>
      </c>
      <c r="H26" s="1" t="s">
        <v>63</v>
      </c>
      <c r="I26" s="1" t="str">
        <f t="shared" si="0"/>
        <v>Low</v>
      </c>
      <c r="J26" t="str">
        <f t="shared" si="1"/>
        <v>Fresher</v>
      </c>
      <c r="K26" s="1">
        <f t="shared" si="2"/>
        <v>1</v>
      </c>
    </row>
    <row r="27" spans="1:11">
      <c r="A27" s="1" t="s">
        <v>118</v>
      </c>
      <c r="B27" s="1" t="s">
        <v>119</v>
      </c>
      <c r="C27" s="1" t="s">
        <v>71</v>
      </c>
      <c r="D27" s="1" t="s">
        <v>67</v>
      </c>
      <c r="E27" s="1">
        <v>57000</v>
      </c>
      <c r="F27" s="1">
        <v>5</v>
      </c>
      <c r="G27" s="1">
        <v>7</v>
      </c>
      <c r="H27" s="1" t="s">
        <v>68</v>
      </c>
      <c r="I27" s="1" t="str">
        <f t="shared" si="0"/>
        <v>High</v>
      </c>
      <c r="J27" t="str">
        <f t="shared" si="1"/>
        <v>Experienced</v>
      </c>
      <c r="K27" s="1">
        <f t="shared" si="2"/>
        <v>0</v>
      </c>
    </row>
    <row r="28" spans="1:11">
      <c r="A28" s="1" t="s">
        <v>120</v>
      </c>
      <c r="B28" s="1" t="s">
        <v>121</v>
      </c>
      <c r="C28" s="1" t="s">
        <v>66</v>
      </c>
      <c r="D28" s="1" t="s">
        <v>72</v>
      </c>
      <c r="E28" s="1">
        <v>33000</v>
      </c>
      <c r="F28" s="1">
        <v>3</v>
      </c>
      <c r="G28" s="1">
        <v>2</v>
      </c>
      <c r="H28" s="1" t="s">
        <v>63</v>
      </c>
      <c r="I28" s="1" t="str">
        <f t="shared" si="0"/>
        <v>Medium</v>
      </c>
      <c r="J28" t="str">
        <f t="shared" si="1"/>
        <v>Fresher</v>
      </c>
      <c r="K28" s="1">
        <f t="shared" si="2"/>
        <v>1</v>
      </c>
    </row>
    <row r="29" spans="1:11">
      <c r="A29" s="1" t="s">
        <v>122</v>
      </c>
      <c r="B29" s="1" t="s">
        <v>123</v>
      </c>
      <c r="C29" s="1" t="s">
        <v>61</v>
      </c>
      <c r="D29" s="1" t="s">
        <v>75</v>
      </c>
      <c r="E29" s="1">
        <v>29500</v>
      </c>
      <c r="F29" s="1">
        <v>2</v>
      </c>
      <c r="G29" s="1">
        <v>1</v>
      </c>
      <c r="H29" s="1" t="s">
        <v>63</v>
      </c>
      <c r="I29" s="1" t="str">
        <f t="shared" si="0"/>
        <v>Low</v>
      </c>
      <c r="J29" t="str">
        <f t="shared" si="1"/>
        <v>Fresher</v>
      </c>
      <c r="K29" s="1">
        <f t="shared" si="2"/>
        <v>1</v>
      </c>
    </row>
    <row r="30" spans="1:11">
      <c r="A30" s="1" t="s">
        <v>124</v>
      </c>
      <c r="B30" s="1" t="s">
        <v>125</v>
      </c>
      <c r="C30" s="1" t="s">
        <v>71</v>
      </c>
      <c r="D30" s="1" t="s">
        <v>62</v>
      </c>
      <c r="E30" s="1">
        <v>53000</v>
      </c>
      <c r="F30" s="1">
        <v>4</v>
      </c>
      <c r="G30" s="1">
        <v>5</v>
      </c>
      <c r="H30" s="1" t="s">
        <v>68</v>
      </c>
      <c r="I30" s="1" t="str">
        <f t="shared" si="0"/>
        <v>High</v>
      </c>
      <c r="J30" t="str">
        <f t="shared" si="1"/>
        <v>Experienced</v>
      </c>
      <c r="K30" s="1">
        <f t="shared" si="2"/>
        <v>0</v>
      </c>
    </row>
    <row r="31" spans="1:11">
      <c r="A31" s="1" t="s">
        <v>126</v>
      </c>
      <c r="B31" s="1" t="s">
        <v>127</v>
      </c>
      <c r="C31" s="1" t="s">
        <v>66</v>
      </c>
      <c r="D31" s="1" t="s">
        <v>67</v>
      </c>
      <c r="E31" s="1">
        <v>35000</v>
      </c>
      <c r="F31" s="1">
        <v>4</v>
      </c>
      <c r="G31" s="1">
        <v>3</v>
      </c>
      <c r="H31" s="1" t="s">
        <v>68</v>
      </c>
      <c r="I31" s="1" t="str">
        <f t="shared" si="0"/>
        <v>Medium</v>
      </c>
      <c r="J31" t="str">
        <f t="shared" si="1"/>
        <v>Experienced</v>
      </c>
      <c r="K31" s="1">
        <f t="shared" si="2"/>
        <v>0</v>
      </c>
    </row>
    <row r="32" spans="1:11">
      <c r="A32" s="1" t="s">
        <v>128</v>
      </c>
      <c r="B32" s="1" t="s">
        <v>129</v>
      </c>
      <c r="C32" s="1" t="s">
        <v>61</v>
      </c>
      <c r="D32" s="1" t="s">
        <v>72</v>
      </c>
      <c r="E32" s="1">
        <v>27000</v>
      </c>
      <c r="F32" s="1">
        <v>1</v>
      </c>
      <c r="G32" s="1">
        <v>1</v>
      </c>
      <c r="H32" s="1" t="s">
        <v>63</v>
      </c>
      <c r="I32" s="1" t="str">
        <f t="shared" si="0"/>
        <v>Low</v>
      </c>
      <c r="J32" t="str">
        <f t="shared" si="1"/>
        <v>Fresher</v>
      </c>
      <c r="K32" s="1">
        <f t="shared" si="2"/>
        <v>1</v>
      </c>
    </row>
    <row r="33" spans="1:11">
      <c r="A33" s="1" t="s">
        <v>130</v>
      </c>
      <c r="B33" s="1" t="s">
        <v>131</v>
      </c>
      <c r="C33" s="1" t="s">
        <v>71</v>
      </c>
      <c r="D33" s="1" t="s">
        <v>75</v>
      </c>
      <c r="E33" s="1">
        <v>61000</v>
      </c>
      <c r="F33" s="1">
        <v>5</v>
      </c>
      <c r="G33" s="1">
        <v>8</v>
      </c>
      <c r="H33" s="1" t="s">
        <v>68</v>
      </c>
      <c r="I33" s="1" t="str">
        <f t="shared" si="0"/>
        <v>High</v>
      </c>
      <c r="J33" t="str">
        <f t="shared" si="1"/>
        <v>Experienced</v>
      </c>
      <c r="K33" s="1">
        <f t="shared" si="2"/>
        <v>0</v>
      </c>
    </row>
    <row r="34" spans="1:11">
      <c r="A34" s="1" t="s">
        <v>132</v>
      </c>
      <c r="B34" s="1" t="s">
        <v>133</v>
      </c>
      <c r="C34" s="1" t="s">
        <v>66</v>
      </c>
      <c r="D34" s="1" t="s">
        <v>62</v>
      </c>
      <c r="E34" s="1">
        <v>32000</v>
      </c>
      <c r="F34" s="1">
        <v>3</v>
      </c>
      <c r="G34" s="1">
        <v>2</v>
      </c>
      <c r="H34" s="1" t="s">
        <v>63</v>
      </c>
      <c r="I34" s="1" t="str">
        <f t="shared" si="0"/>
        <v>Medium</v>
      </c>
      <c r="J34" t="str">
        <f t="shared" si="1"/>
        <v>Fresher</v>
      </c>
      <c r="K34" s="1">
        <f t="shared" si="2"/>
        <v>1</v>
      </c>
    </row>
    <row r="35" spans="1:11">
      <c r="A35" s="1" t="s">
        <v>134</v>
      </c>
      <c r="B35" s="1" t="s">
        <v>135</v>
      </c>
      <c r="C35" s="1" t="s">
        <v>61</v>
      </c>
      <c r="D35" s="1" t="s">
        <v>67</v>
      </c>
      <c r="E35" s="1">
        <v>30000</v>
      </c>
      <c r="F35" s="1">
        <v>2</v>
      </c>
      <c r="G35" s="1">
        <v>2</v>
      </c>
      <c r="H35" s="1" t="s">
        <v>63</v>
      </c>
      <c r="I35" s="1" t="str">
        <f t="shared" si="0"/>
        <v>Medium</v>
      </c>
      <c r="J35" t="str">
        <f t="shared" si="1"/>
        <v>Fresher</v>
      </c>
      <c r="K35" s="1">
        <f t="shared" si="2"/>
        <v>1</v>
      </c>
    </row>
    <row r="36" spans="1:11">
      <c r="A36" s="1" t="s">
        <v>136</v>
      </c>
      <c r="B36" s="1" t="s">
        <v>137</v>
      </c>
      <c r="C36" s="1" t="s">
        <v>71</v>
      </c>
      <c r="D36" s="1" t="s">
        <v>72</v>
      </c>
      <c r="E36" s="1">
        <v>56000</v>
      </c>
      <c r="F36" s="1">
        <v>4</v>
      </c>
      <c r="G36" s="1">
        <v>6</v>
      </c>
      <c r="H36" s="1" t="s">
        <v>68</v>
      </c>
      <c r="I36" s="1" t="str">
        <f t="shared" si="0"/>
        <v>High</v>
      </c>
      <c r="J36" t="str">
        <f t="shared" si="1"/>
        <v>Experienced</v>
      </c>
      <c r="K36" s="1">
        <f t="shared" si="2"/>
        <v>0</v>
      </c>
    </row>
    <row r="37" spans="1:11">
      <c r="A37" s="1" t="s">
        <v>138</v>
      </c>
      <c r="B37" s="1" t="s">
        <v>139</v>
      </c>
      <c r="C37" s="1" t="s">
        <v>66</v>
      </c>
      <c r="D37" s="1" t="s">
        <v>75</v>
      </c>
      <c r="E37" s="1">
        <v>37000</v>
      </c>
      <c r="F37" s="1">
        <v>4</v>
      </c>
      <c r="G37" s="1">
        <v>3</v>
      </c>
      <c r="H37" s="1" t="s">
        <v>68</v>
      </c>
      <c r="I37" s="1" t="str">
        <f t="shared" si="0"/>
        <v>Medium</v>
      </c>
      <c r="J37" t="str">
        <f t="shared" si="1"/>
        <v>Experienced</v>
      </c>
      <c r="K37" s="1">
        <f t="shared" si="2"/>
        <v>0</v>
      </c>
    </row>
    <row r="38" spans="1:11">
      <c r="A38" s="1" t="s">
        <v>140</v>
      </c>
      <c r="B38" s="1" t="s">
        <v>141</v>
      </c>
      <c r="C38" s="1" t="s">
        <v>61</v>
      </c>
      <c r="D38" s="1" t="s">
        <v>62</v>
      </c>
      <c r="E38" s="1">
        <v>26000</v>
      </c>
      <c r="F38" s="1">
        <v>1</v>
      </c>
      <c r="G38" s="1">
        <v>1</v>
      </c>
      <c r="H38" s="1" t="s">
        <v>63</v>
      </c>
      <c r="I38" s="1" t="str">
        <f t="shared" si="0"/>
        <v>Low</v>
      </c>
      <c r="J38" t="str">
        <f t="shared" si="1"/>
        <v>Fresher</v>
      </c>
      <c r="K38" s="1">
        <f t="shared" si="2"/>
        <v>1</v>
      </c>
    </row>
    <row r="39" spans="1:11">
      <c r="A39" s="1" t="s">
        <v>142</v>
      </c>
      <c r="B39" s="1" t="s">
        <v>143</v>
      </c>
      <c r="C39" s="1" t="s">
        <v>71</v>
      </c>
      <c r="D39" s="1" t="s">
        <v>67</v>
      </c>
      <c r="E39" s="1">
        <v>59000</v>
      </c>
      <c r="F39" s="1">
        <v>5</v>
      </c>
      <c r="G39" s="1">
        <v>7</v>
      </c>
      <c r="H39" s="1" t="s">
        <v>68</v>
      </c>
      <c r="I39" s="1" t="str">
        <f t="shared" si="0"/>
        <v>High</v>
      </c>
      <c r="J39" t="str">
        <f t="shared" si="1"/>
        <v>Experienced</v>
      </c>
      <c r="K39" s="1">
        <f t="shared" si="2"/>
        <v>0</v>
      </c>
    </row>
    <row r="40" spans="1:11">
      <c r="A40" s="1" t="s">
        <v>144</v>
      </c>
      <c r="B40" s="1" t="s">
        <v>145</v>
      </c>
      <c r="C40" s="1" t="s">
        <v>66</v>
      </c>
      <c r="D40" s="1" t="s">
        <v>72</v>
      </c>
      <c r="E40" s="1">
        <v>34000</v>
      </c>
      <c r="F40" s="1">
        <v>3</v>
      </c>
      <c r="G40" s="1">
        <v>2</v>
      </c>
      <c r="H40" s="1" t="s">
        <v>63</v>
      </c>
      <c r="I40" s="1" t="str">
        <f t="shared" si="0"/>
        <v>Medium</v>
      </c>
      <c r="J40" t="str">
        <f t="shared" si="1"/>
        <v>Fresher</v>
      </c>
      <c r="K40" s="1">
        <f t="shared" si="2"/>
        <v>1</v>
      </c>
    </row>
    <row r="41" spans="1:11">
      <c r="A41" s="1" t="s">
        <v>146</v>
      </c>
      <c r="B41" s="1" t="s">
        <v>147</v>
      </c>
      <c r="C41" s="1" t="s">
        <v>61</v>
      </c>
      <c r="D41" s="1" t="s">
        <v>75</v>
      </c>
      <c r="E41" s="1">
        <v>31000</v>
      </c>
      <c r="F41" s="1">
        <v>2</v>
      </c>
      <c r="G41" s="1">
        <v>2</v>
      </c>
      <c r="H41" s="1" t="s">
        <v>63</v>
      </c>
      <c r="I41" s="1" t="str">
        <f t="shared" si="0"/>
        <v>Medium</v>
      </c>
      <c r="J41" t="str">
        <f t="shared" si="1"/>
        <v>Fresher</v>
      </c>
      <c r="K41" s="1">
        <f t="shared" si="2"/>
        <v>1</v>
      </c>
    </row>
    <row r="42" spans="1:11">
      <c r="A42" s="1" t="s">
        <v>148</v>
      </c>
      <c r="B42" s="1" t="s">
        <v>149</v>
      </c>
      <c r="C42" s="1" t="s">
        <v>71</v>
      </c>
      <c r="D42" s="1" t="s">
        <v>62</v>
      </c>
      <c r="E42" s="1">
        <v>52000</v>
      </c>
      <c r="F42" s="1">
        <v>4</v>
      </c>
      <c r="G42" s="1">
        <v>5</v>
      </c>
      <c r="H42" s="1" t="s">
        <v>68</v>
      </c>
      <c r="I42" s="1" t="str">
        <f t="shared" si="0"/>
        <v>High</v>
      </c>
      <c r="J42" t="str">
        <f t="shared" si="1"/>
        <v>Experienced</v>
      </c>
      <c r="K42" s="1">
        <f t="shared" si="2"/>
        <v>0</v>
      </c>
    </row>
    <row r="43" spans="1:11">
      <c r="A43" s="1" t="s">
        <v>150</v>
      </c>
      <c r="B43" s="1" t="s">
        <v>151</v>
      </c>
      <c r="C43" s="1" t="s">
        <v>66</v>
      </c>
      <c r="D43" s="1" t="s">
        <v>67</v>
      </c>
      <c r="E43" s="1">
        <v>36000</v>
      </c>
      <c r="F43" s="1">
        <v>4</v>
      </c>
      <c r="G43" s="1">
        <v>3</v>
      </c>
      <c r="H43" s="1" t="s">
        <v>68</v>
      </c>
      <c r="I43" s="1" t="str">
        <f t="shared" si="0"/>
        <v>Medium</v>
      </c>
      <c r="J43" t="str">
        <f t="shared" si="1"/>
        <v>Experienced</v>
      </c>
      <c r="K43" s="1">
        <f t="shared" si="2"/>
        <v>0</v>
      </c>
    </row>
    <row r="44" spans="1:11">
      <c r="A44" s="1" t="s">
        <v>152</v>
      </c>
      <c r="B44" s="1" t="s">
        <v>153</v>
      </c>
      <c r="C44" s="1" t="s">
        <v>61</v>
      </c>
      <c r="D44" s="1" t="s">
        <v>72</v>
      </c>
      <c r="E44" s="1">
        <v>28000</v>
      </c>
      <c r="F44" s="1">
        <v>2</v>
      </c>
      <c r="G44" s="1">
        <v>1</v>
      </c>
      <c r="H44" s="1" t="s">
        <v>63</v>
      </c>
      <c r="I44" s="1" t="str">
        <f t="shared" si="0"/>
        <v>Low</v>
      </c>
      <c r="J44" t="str">
        <f t="shared" si="1"/>
        <v>Fresher</v>
      </c>
      <c r="K44" s="1">
        <f t="shared" si="2"/>
        <v>1</v>
      </c>
    </row>
    <row r="45" spans="1:11">
      <c r="A45" s="1" t="s">
        <v>154</v>
      </c>
      <c r="B45" s="1" t="s">
        <v>155</v>
      </c>
      <c r="C45" s="1" t="s">
        <v>71</v>
      </c>
      <c r="D45" s="1" t="s">
        <v>75</v>
      </c>
      <c r="E45" s="1">
        <v>60000</v>
      </c>
      <c r="F45" s="1">
        <v>5</v>
      </c>
      <c r="G45" s="1">
        <v>8</v>
      </c>
      <c r="H45" s="1" t="s">
        <v>68</v>
      </c>
      <c r="I45" s="1" t="str">
        <f t="shared" si="0"/>
        <v>High</v>
      </c>
      <c r="J45" t="str">
        <f t="shared" si="1"/>
        <v>Experienced</v>
      </c>
      <c r="K45" s="1">
        <f t="shared" si="2"/>
        <v>0</v>
      </c>
    </row>
    <row r="46" spans="1:11">
      <c r="A46" s="1" t="s">
        <v>156</v>
      </c>
      <c r="B46" s="1" t="s">
        <v>157</v>
      </c>
      <c r="C46" s="1" t="s">
        <v>66</v>
      </c>
      <c r="D46" s="1" t="s">
        <v>62</v>
      </c>
      <c r="E46" s="1">
        <v>33000</v>
      </c>
      <c r="F46" s="1">
        <v>3</v>
      </c>
      <c r="G46" s="1">
        <v>2</v>
      </c>
      <c r="H46" s="1" t="s">
        <v>63</v>
      </c>
      <c r="I46" s="1" t="str">
        <f t="shared" si="0"/>
        <v>Medium</v>
      </c>
      <c r="J46" t="str">
        <f t="shared" si="1"/>
        <v>Fresher</v>
      </c>
      <c r="K46" s="1">
        <f t="shared" si="2"/>
        <v>1</v>
      </c>
    </row>
    <row r="47" spans="1:11">
      <c r="A47" s="1" t="s">
        <v>158</v>
      </c>
      <c r="B47" s="1" t="s">
        <v>159</v>
      </c>
      <c r="C47" s="1" t="s">
        <v>61</v>
      </c>
      <c r="D47" s="1" t="s">
        <v>67</v>
      </c>
      <c r="E47" s="1">
        <v>29500</v>
      </c>
      <c r="F47" s="1">
        <v>2</v>
      </c>
      <c r="G47" s="1">
        <v>1</v>
      </c>
      <c r="H47" s="1" t="s">
        <v>63</v>
      </c>
      <c r="I47" s="1" t="str">
        <f t="shared" si="0"/>
        <v>Low</v>
      </c>
      <c r="J47" t="str">
        <f t="shared" si="1"/>
        <v>Fresher</v>
      </c>
      <c r="K47" s="1">
        <f t="shared" si="2"/>
        <v>1</v>
      </c>
    </row>
    <row r="48" spans="1:11">
      <c r="A48" s="1" t="s">
        <v>160</v>
      </c>
      <c r="B48" s="1" t="s">
        <v>161</v>
      </c>
      <c r="C48" s="1" t="s">
        <v>71</v>
      </c>
      <c r="D48" s="1" t="s">
        <v>72</v>
      </c>
      <c r="E48" s="1">
        <v>55000</v>
      </c>
      <c r="F48" s="1">
        <v>4</v>
      </c>
      <c r="G48" s="1">
        <v>6</v>
      </c>
      <c r="H48" s="1" t="s">
        <v>68</v>
      </c>
      <c r="I48" s="1" t="str">
        <f t="shared" si="0"/>
        <v>High</v>
      </c>
      <c r="J48" t="str">
        <f t="shared" si="1"/>
        <v>Experienced</v>
      </c>
      <c r="K48" s="1">
        <f t="shared" si="2"/>
        <v>0</v>
      </c>
    </row>
    <row r="49" spans="1:13">
      <c r="A49" s="1" t="s">
        <v>162</v>
      </c>
      <c r="B49" s="1" t="s">
        <v>163</v>
      </c>
      <c r="C49" s="1" t="s">
        <v>66</v>
      </c>
      <c r="D49" s="1" t="s">
        <v>75</v>
      </c>
      <c r="E49" s="1">
        <v>37000</v>
      </c>
      <c r="F49" s="1">
        <v>4</v>
      </c>
      <c r="G49" s="1">
        <v>3</v>
      </c>
      <c r="H49" s="1" t="s">
        <v>68</v>
      </c>
      <c r="I49" s="1" t="str">
        <f t="shared" si="0"/>
        <v>Medium</v>
      </c>
      <c r="J49" t="str">
        <f t="shared" si="1"/>
        <v>Experienced</v>
      </c>
      <c r="K49" s="1">
        <f t="shared" si="2"/>
        <v>0</v>
      </c>
    </row>
    <row r="50" spans="1:13">
      <c r="A50" s="1" t="s">
        <v>164</v>
      </c>
      <c r="B50" s="1" t="s">
        <v>165</v>
      </c>
      <c r="C50" s="1" t="s">
        <v>61</v>
      </c>
      <c r="D50" s="1" t="s">
        <v>62</v>
      </c>
      <c r="E50" s="1">
        <v>27000</v>
      </c>
      <c r="F50" s="1">
        <v>1</v>
      </c>
      <c r="G50" s="1">
        <v>1</v>
      </c>
      <c r="H50" s="1" t="s">
        <v>63</v>
      </c>
      <c r="I50" s="1" t="str">
        <f t="shared" si="0"/>
        <v>Low</v>
      </c>
      <c r="J50" t="str">
        <f t="shared" si="1"/>
        <v>Fresher</v>
      </c>
      <c r="K50" s="1">
        <f t="shared" si="2"/>
        <v>1</v>
      </c>
    </row>
    <row r="51" spans="1:13">
      <c r="A51" s="1" t="s">
        <v>166</v>
      </c>
      <c r="B51" s="1" t="s">
        <v>167</v>
      </c>
      <c r="C51" s="1" t="s">
        <v>71</v>
      </c>
      <c r="D51" s="1" t="s">
        <v>67</v>
      </c>
      <c r="E51" s="1">
        <v>58000</v>
      </c>
      <c r="F51" s="1">
        <v>5</v>
      </c>
      <c r="G51" s="1">
        <v>7</v>
      </c>
      <c r="H51" s="1" t="s">
        <v>68</v>
      </c>
      <c r="I51" s="1" t="str">
        <f t="shared" si="0"/>
        <v>High</v>
      </c>
      <c r="J51" t="str">
        <f t="shared" si="1"/>
        <v>Experienced</v>
      </c>
      <c r="K51" s="1">
        <f t="shared" si="2"/>
        <v>0</v>
      </c>
      <c r="M51">
        <f>SUM(E2:E52)</f>
        <v>1995000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3EF5-694E-434D-91D0-34C72A172784}">
  <dimension ref="H17:H18"/>
  <sheetViews>
    <sheetView workbookViewId="0">
      <selection activeCell="H18" sqref="H18"/>
    </sheetView>
  </sheetViews>
  <sheetFormatPr defaultRowHeight="14.4"/>
  <sheetData>
    <row r="17" spans="8:8">
      <c r="H17" t="s">
        <v>203</v>
      </c>
    </row>
    <row r="18" spans="8:8">
      <c r="H18" s="1">
        <f>COUNTA(Table25[EmpID])</f>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Sheet8</vt:lpstr>
      <vt:lpstr>Sheet12</vt:lpstr>
      <vt:lpstr>Sheet3</vt:lpstr>
      <vt:lpstr>Formatted Data </vt:lpstr>
      <vt:lpstr>Sheet13</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Sonam Kothiyal</dc:creator>
  <cp:lastModifiedBy>Sonam Kothiyal</cp:lastModifiedBy>
  <dcterms:created xsi:type="dcterms:W3CDTF">2026-04-08T05:32:01Z</dcterms:created>
  <dcterms:modified xsi:type="dcterms:W3CDTF">2026-04-08T09:46:16Z</dcterms:modified>
</cp:coreProperties>
</file>